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Registro de Prueba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figuración" sheetId="3" state="visible" r:id="rId3"/>
    <sheet xmlns:r="http://schemas.openxmlformats.org/officeDocument/2006/relationships" name="Trades Reales" sheetId="4" state="visible" r:id="rId4"/>
    <sheet xmlns:r="http://schemas.openxmlformats.org/officeDocument/2006/relationships" name="Mi Análisi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yyyy\-mm\-dd"/>
    <numFmt numFmtId="165" formatCode="0.0%"/>
    <numFmt numFmtId="166" formatCode="0.000"/>
    <numFmt numFmtId="167" formatCode="\$#,##0.00"/>
    <numFmt numFmtId="168" formatCode="\$#,##0.00;[Red]\(\$#,##0.00\)"/>
    <numFmt numFmtId="169" formatCode="\$#,##0.0000"/>
    <numFmt numFmtId="170" formatCode="0.0"/>
    <numFmt numFmtId="171" formatCode="YYYY-MM-DD"/>
    <numFmt numFmtId="172" formatCode="$#,##0.00"/>
    <numFmt numFmtId="173" formatCode="$#,##0.00;[Red]($#,##0.00)"/>
    <numFmt numFmtId="174" formatCode="$#,##0.0000"/>
  </numFmts>
  <fonts count="21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FFFFFF"/>
      <sz val="10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991B1B"/>
      <sz val="10"/>
    </font>
    <font>
      <name val="Arial"/>
      <b val="1"/>
      <color rgb="FF065F46"/>
      <sz val="10"/>
    </font>
    <font>
      <name val="Arial"/>
      <b val="1"/>
      <color rgb="FF000000"/>
      <sz val="10"/>
    </font>
    <font>
      <name val="Arial"/>
      <b val="1"/>
      <color rgb="FFFFFFFF"/>
      <sz val="10"/>
    </font>
    <font>
      <name val="Arial"/>
      <b val="1"/>
      <color rgb="FFFFFFFF"/>
      <sz val="13"/>
    </font>
    <font>
      <name val="Arial"/>
      <i val="1"/>
      <color rgb="FF92400E"/>
      <sz val="10"/>
    </font>
    <font>
      <name val="Arial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991B1B"/>
      <sz val="10"/>
    </font>
    <font>
      <name val="Arial"/>
      <b val="1"/>
      <color rgb="FF065F4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991B1B"/>
      <sz val="10"/>
    </font>
    <font>
      <name val="Arial"/>
      <b val="1"/>
      <color rgb="00065F46"/>
      <sz val="10"/>
    </font>
    <font>
      <name val="Arial"/>
      <b val="1"/>
      <color rgb="001E40AF"/>
      <sz val="10"/>
    </font>
  </fonts>
  <fills count="22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FF1F2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F9FAFB"/>
      </patternFill>
    </fill>
    <fill>
      <patternFill patternType="solid">
        <fgColor rgb="FFD1FAE5"/>
      </patternFill>
    </fill>
    <fill>
      <patternFill patternType="solid">
        <fgColor rgb="FF1E40AF"/>
      </patternFill>
    </fill>
    <fill>
      <patternFill patternType="solid">
        <fgColor rgb="FFFEF3C7"/>
      </patternFill>
    </fill>
    <fill>
      <patternFill patternType="solid">
        <fgColor rgb="FF065F46"/>
      </patternFill>
    </fill>
    <fill>
      <patternFill patternType="solid">
        <fgColor rgb="FFFFF1F2"/>
      </patternFill>
    </fill>
    <fill>
      <patternFill patternType="solid">
        <fgColor rgb="FFFFFBEB"/>
      </patternFill>
    </fill>
    <fill>
      <patternFill patternType="solid">
        <fgColor rgb="FFF0FDF4"/>
      </patternFill>
    </fill>
    <fill>
      <patternFill patternType="solid">
        <fgColor rgb="FFEFF6FF"/>
      </patternFill>
    </fill>
    <fill>
      <patternFill patternType="solid">
        <fgColor rgb="00FFF1F2"/>
      </patternFill>
    </fill>
    <fill>
      <patternFill patternType="solid">
        <fgColor rgb="00FFFBEB"/>
      </patternFill>
    </fill>
    <fill>
      <patternFill patternType="solid">
        <fgColor rgb="00EFF6FF"/>
      </patternFill>
    </fill>
    <fill>
      <patternFill patternType="solid">
        <fgColor rgb="00F0FDF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0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17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17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  <xf numFmtId="10" fontId="4" fillId="6" borderId="1" applyAlignment="1" pivotButton="0" quotePrefix="0" xfId="0">
      <alignment horizontal="center" vertical="center"/>
    </xf>
    <xf numFmtId="167" fontId="4" fillId="6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center" vertical="center"/>
    </xf>
    <xf numFmtId="169" fontId="4" fillId="6" borderId="1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5" fontId="6" fillId="10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6" fontId="6" fillId="10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0" fontId="6" fillId="10" borderId="1" applyAlignment="1" pivotButton="0" quotePrefix="0" xfId="0">
      <alignment horizontal="center" vertical="center"/>
    </xf>
    <xf numFmtId="10" fontId="4" fillId="9" borderId="1" applyAlignment="1" pivotButton="0" quotePrefix="0" xfId="0">
      <alignment horizontal="center" vertical="center"/>
    </xf>
    <xf numFmtId="167" fontId="6" fillId="10" borderId="1" applyAlignment="1" pivotButton="0" quotePrefix="0" xfId="0">
      <alignment horizontal="center" vertical="center"/>
    </xf>
    <xf numFmtId="167" fontId="4" fillId="9" borderId="1" applyAlignment="1" pivotButton="0" quotePrefix="0" xfId="0">
      <alignment horizontal="center" vertical="center"/>
    </xf>
    <xf numFmtId="170" fontId="6" fillId="10" borderId="1" applyAlignment="1" pivotButton="0" quotePrefix="0" xfId="0">
      <alignment horizontal="center" vertical="center"/>
    </xf>
    <xf numFmtId="170" fontId="4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5" fontId="7" fillId="10" borderId="1" applyAlignment="1" pivotButton="0" quotePrefix="0" xfId="0">
      <alignment horizontal="center" vertical="center"/>
    </xf>
    <xf numFmtId="167" fontId="7" fillId="1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7" fontId="7" fillId="6" borderId="1" applyAlignment="1" pivotButton="0" quotePrefix="0" xfId="0">
      <alignment horizontal="center" vertical="center"/>
    </xf>
    <xf numFmtId="168" fontId="5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167" fontId="7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2" fillId="14" borderId="4" applyAlignment="1" pivotButton="0" quotePrefix="0" xfId="0">
      <alignment horizontal="center" vertical="center"/>
    </xf>
    <xf numFmtId="164" fontId="13" fillId="14" borderId="4" applyAlignment="1" pivotButton="0" quotePrefix="0" xfId="0">
      <alignment horizontal="center" vertical="center"/>
    </xf>
    <xf numFmtId="0" fontId="13" fillId="14" borderId="4" applyAlignment="1" pivotButton="0" quotePrefix="0" xfId="0">
      <alignment horizontal="center" vertical="center"/>
    </xf>
    <xf numFmtId="0" fontId="13" fillId="14" borderId="4" applyAlignment="1" pivotButton="0" quotePrefix="0" xfId="0">
      <alignment horizontal="left" vertical="center"/>
    </xf>
    <xf numFmtId="1" fontId="13" fillId="14" borderId="4" applyAlignment="1" pivotButton="0" quotePrefix="0" xfId="0">
      <alignment horizontal="center" vertical="center"/>
    </xf>
    <xf numFmtId="1" fontId="12" fillId="14" borderId="4" applyAlignment="1" pivotButton="0" quotePrefix="0" xfId="0">
      <alignment horizontal="center" vertical="center"/>
    </xf>
    <xf numFmtId="165" fontId="13" fillId="14" borderId="4" applyAlignment="1" pivotButton="0" quotePrefix="0" xfId="0">
      <alignment horizontal="center" vertical="center"/>
    </xf>
    <xf numFmtId="166" fontId="14" fillId="14" borderId="4" applyAlignment="1" pivotButton="0" quotePrefix="0" xfId="0">
      <alignment horizontal="center" vertical="center"/>
    </xf>
    <xf numFmtId="10" fontId="13" fillId="14" borderId="4" applyAlignment="1" pivotButton="0" quotePrefix="0" xfId="0">
      <alignment horizontal="center" vertical="center"/>
    </xf>
    <xf numFmtId="166" fontId="13" fillId="14" borderId="4" applyAlignment="1" pivotButton="0" quotePrefix="0" xfId="0">
      <alignment horizontal="center" vertical="center"/>
    </xf>
    <xf numFmtId="167" fontId="12" fillId="14" borderId="4" applyAlignment="1" pivotButton="0" quotePrefix="0" xfId="0">
      <alignment horizontal="center" vertical="center"/>
    </xf>
    <xf numFmtId="168" fontId="14" fillId="14" borderId="4" applyAlignment="1" pivotButton="0" quotePrefix="0" xfId="0">
      <alignment horizontal="center" vertical="center"/>
    </xf>
    <xf numFmtId="169" fontId="13" fillId="14" borderId="4" applyAlignment="1" pivotButton="0" quotePrefix="0" xfId="0">
      <alignment horizontal="center" vertical="center"/>
    </xf>
    <xf numFmtId="170" fontId="13" fillId="14" borderId="4" applyAlignment="1" pivotButton="0" quotePrefix="0" xfId="0">
      <alignment horizontal="center" vertical="center"/>
    </xf>
    <xf numFmtId="0" fontId="12" fillId="15" borderId="4" applyAlignment="1" pivotButton="0" quotePrefix="0" xfId="0">
      <alignment horizontal="center" vertical="center"/>
    </xf>
    <xf numFmtId="164" fontId="13" fillId="15" borderId="4" applyAlignment="1" pivotButton="0" quotePrefix="0" xfId="0">
      <alignment horizontal="center" vertical="center"/>
    </xf>
    <xf numFmtId="0" fontId="13" fillId="15" borderId="4" applyAlignment="1" pivotButton="0" quotePrefix="0" xfId="0">
      <alignment horizontal="center" vertical="center"/>
    </xf>
    <xf numFmtId="0" fontId="13" fillId="15" borderId="4" applyAlignment="1" pivotButton="0" quotePrefix="0" xfId="0">
      <alignment horizontal="left" vertical="center"/>
    </xf>
    <xf numFmtId="1" fontId="13" fillId="15" borderId="4" applyAlignment="1" pivotButton="0" quotePrefix="0" xfId="0">
      <alignment horizontal="center" vertical="center"/>
    </xf>
    <xf numFmtId="1" fontId="12" fillId="15" borderId="4" applyAlignment="1" pivotButton="0" quotePrefix="0" xfId="0">
      <alignment horizontal="center" vertical="center"/>
    </xf>
    <xf numFmtId="165" fontId="13" fillId="15" borderId="4" applyAlignment="1" pivotButton="0" quotePrefix="0" xfId="0">
      <alignment horizontal="center" vertical="center"/>
    </xf>
    <xf numFmtId="166" fontId="14" fillId="15" borderId="4" applyAlignment="1" pivotButton="0" quotePrefix="0" xfId="0">
      <alignment horizontal="center" vertical="center"/>
    </xf>
    <xf numFmtId="10" fontId="13" fillId="15" borderId="4" applyAlignment="1" pivotButton="0" quotePrefix="0" xfId="0">
      <alignment horizontal="center" vertical="center"/>
    </xf>
    <xf numFmtId="166" fontId="13" fillId="15" borderId="4" applyAlignment="1" pivotButton="0" quotePrefix="0" xfId="0">
      <alignment horizontal="center" vertical="center"/>
    </xf>
    <xf numFmtId="167" fontId="12" fillId="15" borderId="4" applyAlignment="1" pivotButton="0" quotePrefix="0" xfId="0">
      <alignment horizontal="center" vertical="center"/>
    </xf>
    <xf numFmtId="168" fontId="14" fillId="15" borderId="4" applyAlignment="1" pivotButton="0" quotePrefix="0" xfId="0">
      <alignment horizontal="center" vertical="center"/>
    </xf>
    <xf numFmtId="169" fontId="13" fillId="15" borderId="4" applyAlignment="1" pivotButton="0" quotePrefix="0" xfId="0">
      <alignment horizontal="center" vertical="center"/>
    </xf>
    <xf numFmtId="170" fontId="13" fillId="15" borderId="4" applyAlignment="1" pivotButton="0" quotePrefix="0" xfId="0">
      <alignment horizontal="center" vertical="center"/>
    </xf>
    <xf numFmtId="0" fontId="12" fillId="16" borderId="4" applyAlignment="1" pivotButton="0" quotePrefix="0" xfId="0">
      <alignment horizontal="center" vertical="center"/>
    </xf>
    <xf numFmtId="164" fontId="13" fillId="16" borderId="4" applyAlignment="1" pivotButton="0" quotePrefix="0" xfId="0">
      <alignment horizontal="center" vertical="center"/>
    </xf>
    <xf numFmtId="0" fontId="13" fillId="16" borderId="4" applyAlignment="1" pivotButton="0" quotePrefix="0" xfId="0">
      <alignment horizontal="center" vertical="center"/>
    </xf>
    <xf numFmtId="0" fontId="13" fillId="16" borderId="4" applyAlignment="1" pivotButton="0" quotePrefix="0" xfId="0">
      <alignment horizontal="left" vertical="center"/>
    </xf>
    <xf numFmtId="1" fontId="13" fillId="16" borderId="4" applyAlignment="1" pivotButton="0" quotePrefix="0" xfId="0">
      <alignment horizontal="center" vertical="center"/>
    </xf>
    <xf numFmtId="1" fontId="12" fillId="16" borderId="4" applyAlignment="1" pivotButton="0" quotePrefix="0" xfId="0">
      <alignment horizontal="center" vertical="center"/>
    </xf>
    <xf numFmtId="165" fontId="13" fillId="16" borderId="4" applyAlignment="1" pivotButton="0" quotePrefix="0" xfId="0">
      <alignment horizontal="center" vertical="center"/>
    </xf>
    <xf numFmtId="166" fontId="15" fillId="16" borderId="4" applyAlignment="1" pivotButton="0" quotePrefix="0" xfId="0">
      <alignment horizontal="center" vertical="center"/>
    </xf>
    <xf numFmtId="10" fontId="13" fillId="16" borderId="4" applyAlignment="1" pivotButton="0" quotePrefix="0" xfId="0">
      <alignment horizontal="center" vertical="center"/>
    </xf>
    <xf numFmtId="166" fontId="13" fillId="16" borderId="4" applyAlignment="1" pivotButton="0" quotePrefix="0" xfId="0">
      <alignment horizontal="center" vertical="center"/>
    </xf>
    <xf numFmtId="167" fontId="12" fillId="16" borderId="4" applyAlignment="1" pivotButton="0" quotePrefix="0" xfId="0">
      <alignment horizontal="center" vertical="center"/>
    </xf>
    <xf numFmtId="168" fontId="15" fillId="16" borderId="4" applyAlignment="1" pivotButton="0" quotePrefix="0" xfId="0">
      <alignment horizontal="center" vertical="center"/>
    </xf>
    <xf numFmtId="169" fontId="13" fillId="16" borderId="4" applyAlignment="1" pivotButton="0" quotePrefix="0" xfId="0">
      <alignment horizontal="center" vertical="center"/>
    </xf>
    <xf numFmtId="170" fontId="13" fillId="16" borderId="4" applyAlignment="1" pivotButton="0" quotePrefix="0" xfId="0">
      <alignment horizontal="center" vertical="center"/>
    </xf>
    <xf numFmtId="166" fontId="15" fillId="15" borderId="4" applyAlignment="1" pivotButton="0" quotePrefix="0" xfId="0">
      <alignment horizontal="center" vertical="center"/>
    </xf>
    <xf numFmtId="168" fontId="15" fillId="15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165" fontId="12" fillId="15" borderId="4" applyAlignment="1" pivotButton="0" quotePrefix="0" xfId="0">
      <alignment horizontal="center" vertical="center"/>
    </xf>
    <xf numFmtId="0" fontId="12" fillId="17" borderId="4" applyAlignment="1" pivotButton="0" quotePrefix="0" xfId="0">
      <alignment horizontal="center" vertical="center"/>
    </xf>
    <xf numFmtId="164" fontId="13" fillId="17" borderId="4" applyAlignment="1" pivotButton="0" quotePrefix="0" xfId="0">
      <alignment horizontal="center" vertical="center"/>
    </xf>
    <xf numFmtId="0" fontId="13" fillId="17" borderId="4" applyAlignment="1" pivotButton="0" quotePrefix="0" xfId="0">
      <alignment horizontal="center" vertical="center"/>
    </xf>
    <xf numFmtId="0" fontId="13" fillId="17" borderId="4" applyAlignment="1" pivotButton="0" quotePrefix="0" xfId="0">
      <alignment horizontal="left" vertical="center"/>
    </xf>
    <xf numFmtId="1" fontId="13" fillId="17" borderId="4" applyAlignment="1" pivotButton="0" quotePrefix="0" xfId="0">
      <alignment horizontal="center" vertical="center"/>
    </xf>
    <xf numFmtId="1" fontId="12" fillId="17" borderId="4" applyAlignment="1" pivotButton="0" quotePrefix="0" xfId="0">
      <alignment horizontal="center" vertical="center"/>
    </xf>
    <xf numFmtId="165" fontId="12" fillId="17" borderId="4" applyAlignment="1" pivotButton="0" quotePrefix="0" xfId="0">
      <alignment horizontal="center" vertical="center"/>
    </xf>
    <xf numFmtId="166" fontId="15" fillId="17" borderId="4" applyAlignment="1" pivotButton="0" quotePrefix="0" xfId="0">
      <alignment horizontal="center" vertical="center"/>
    </xf>
    <xf numFmtId="10" fontId="13" fillId="17" borderId="4" applyAlignment="1" pivotButton="0" quotePrefix="0" xfId="0">
      <alignment horizontal="center" vertical="center"/>
    </xf>
    <xf numFmtId="166" fontId="13" fillId="17" borderId="4" applyAlignment="1" pivotButton="0" quotePrefix="0" xfId="0">
      <alignment horizontal="center" vertical="center"/>
    </xf>
    <xf numFmtId="167" fontId="12" fillId="17" borderId="4" applyAlignment="1" pivotButton="0" quotePrefix="0" xfId="0">
      <alignment horizontal="center" vertical="center"/>
    </xf>
    <xf numFmtId="168" fontId="15" fillId="17" borderId="4" applyAlignment="1" pivotButton="0" quotePrefix="0" xfId="0">
      <alignment horizontal="center" vertical="center"/>
    </xf>
    <xf numFmtId="169" fontId="13" fillId="17" borderId="4" applyAlignment="1" pivotButton="0" quotePrefix="0" xfId="0">
      <alignment horizontal="center" vertical="center"/>
    </xf>
    <xf numFmtId="170" fontId="13" fillId="17" borderId="4" applyAlignment="1" pivotButton="0" quotePrefix="0" xfId="0">
      <alignment horizontal="center" vertical="center"/>
    </xf>
    <xf numFmtId="0" fontId="12" fillId="15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7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16" fillId="18" borderId="9" applyAlignment="1" pivotButton="0" quotePrefix="0" xfId="0">
      <alignment horizontal="center" vertical="center"/>
    </xf>
    <xf numFmtId="171" fontId="17" fillId="18" borderId="9" applyAlignment="1" pivotButton="0" quotePrefix="0" xfId="0">
      <alignment horizontal="center" vertical="center"/>
    </xf>
    <xf numFmtId="0" fontId="17" fillId="18" borderId="9" applyAlignment="1" pivotButton="0" quotePrefix="0" xfId="0">
      <alignment horizontal="center" vertical="center"/>
    </xf>
    <xf numFmtId="0" fontId="17" fillId="18" borderId="9" applyAlignment="1" pivotButton="0" quotePrefix="0" xfId="0">
      <alignment horizontal="left" vertical="center"/>
    </xf>
    <xf numFmtId="1" fontId="17" fillId="18" borderId="9" applyAlignment="1" pivotButton="0" quotePrefix="0" xfId="0">
      <alignment horizontal="center" vertical="center"/>
    </xf>
    <xf numFmtId="1" fontId="16" fillId="18" borderId="9" applyAlignment="1" pivotButton="0" quotePrefix="0" xfId="0">
      <alignment horizontal="center" vertical="center"/>
    </xf>
    <xf numFmtId="165" fontId="16" fillId="18" borderId="9" applyAlignment="1" pivotButton="0" quotePrefix="0" xfId="0">
      <alignment horizontal="center" vertical="center"/>
    </xf>
    <xf numFmtId="166" fontId="18" fillId="18" borderId="9" applyAlignment="1" pivotButton="0" quotePrefix="0" xfId="0">
      <alignment horizontal="center" vertical="center"/>
    </xf>
    <xf numFmtId="10" fontId="17" fillId="18" borderId="9" applyAlignment="1" pivotButton="0" quotePrefix="0" xfId="0">
      <alignment horizontal="center" vertical="center"/>
    </xf>
    <xf numFmtId="166" fontId="17" fillId="18" borderId="9" applyAlignment="1" pivotButton="0" quotePrefix="0" xfId="0">
      <alignment horizontal="center" vertical="center"/>
    </xf>
    <xf numFmtId="172" fontId="16" fillId="18" borderId="9" applyAlignment="1" pivotButton="0" quotePrefix="0" xfId="0">
      <alignment horizontal="center" vertical="center"/>
    </xf>
    <xf numFmtId="173" fontId="18" fillId="18" borderId="9" applyAlignment="1" pivotButton="0" quotePrefix="0" xfId="0">
      <alignment horizontal="center" vertical="center"/>
    </xf>
    <xf numFmtId="174" fontId="17" fillId="18" borderId="9" applyAlignment="1" pivotButton="0" quotePrefix="0" xfId="0">
      <alignment horizontal="center" vertical="center"/>
    </xf>
    <xf numFmtId="170" fontId="17" fillId="18" borderId="9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11" fillId="9" borderId="4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/>
    </xf>
    <xf numFmtId="0" fontId="11" fillId="7" borderId="4" applyAlignment="1" pivotButton="0" quotePrefix="0" xfId="0">
      <alignment horizontal="left" vertical="center" wrapText="1"/>
    </xf>
    <xf numFmtId="0" fontId="16" fillId="19" borderId="9" applyAlignment="1" pivotButton="0" quotePrefix="0" xfId="0">
      <alignment horizontal="center" vertical="center"/>
    </xf>
    <xf numFmtId="171" fontId="17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left" vertical="center"/>
    </xf>
    <xf numFmtId="1" fontId="17" fillId="19" borderId="9" applyAlignment="1" pivotButton="0" quotePrefix="0" xfId="0">
      <alignment horizontal="center" vertical="center"/>
    </xf>
    <xf numFmtId="1" fontId="16" fillId="19" borderId="9" applyAlignment="1" pivotButton="0" quotePrefix="0" xfId="0">
      <alignment horizontal="center" vertical="center"/>
    </xf>
    <xf numFmtId="165" fontId="16" fillId="19" borderId="9" applyAlignment="1" pivotButton="0" quotePrefix="0" xfId="0">
      <alignment horizontal="center" vertical="center"/>
    </xf>
    <xf numFmtId="166" fontId="18" fillId="19" borderId="9" applyAlignment="1" pivotButton="0" quotePrefix="0" xfId="0">
      <alignment horizontal="center" vertical="center"/>
    </xf>
    <xf numFmtId="10" fontId="17" fillId="19" borderId="9" applyAlignment="1" pivotButton="0" quotePrefix="0" xfId="0">
      <alignment horizontal="center" vertical="center"/>
    </xf>
    <xf numFmtId="166" fontId="17" fillId="19" borderId="9" applyAlignment="1" pivotButton="0" quotePrefix="0" xfId="0">
      <alignment horizontal="center" vertical="center"/>
    </xf>
    <xf numFmtId="172" fontId="16" fillId="19" borderId="9" applyAlignment="1" pivotButton="0" quotePrefix="0" xfId="0">
      <alignment horizontal="center" vertical="center"/>
    </xf>
    <xf numFmtId="173" fontId="18" fillId="19" borderId="9" applyAlignment="1" pivotButton="0" quotePrefix="0" xfId="0">
      <alignment horizontal="center" vertical="center"/>
    </xf>
    <xf numFmtId="174" fontId="17" fillId="19" borderId="9" applyAlignment="1" pivotButton="0" quotePrefix="0" xfId="0">
      <alignment horizontal="center" vertical="center"/>
    </xf>
    <xf numFmtId="170" fontId="17" fillId="19" borderId="9" applyAlignment="1" pivotButton="0" quotePrefix="0" xfId="0">
      <alignment horizontal="center" vertical="center"/>
    </xf>
    <xf numFmtId="0" fontId="16" fillId="20" borderId="9" applyAlignment="1" pivotButton="0" quotePrefix="0" xfId="0">
      <alignment horizontal="center" vertical="center"/>
    </xf>
    <xf numFmtId="171" fontId="17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left" vertical="center"/>
    </xf>
    <xf numFmtId="1" fontId="17" fillId="20" borderId="9" applyAlignment="1" pivotButton="0" quotePrefix="0" xfId="0">
      <alignment horizontal="center" vertical="center"/>
    </xf>
    <xf numFmtId="1" fontId="16" fillId="20" borderId="9" applyAlignment="1" pivotButton="0" quotePrefix="0" xfId="0">
      <alignment horizontal="center" vertical="center"/>
    </xf>
    <xf numFmtId="165" fontId="16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0" fontId="17" fillId="20" borderId="9" applyAlignment="1" pivotButton="0" quotePrefix="0" xfId="0">
      <alignment horizontal="center" vertical="center"/>
    </xf>
    <xf numFmtId="166" fontId="17" fillId="20" borderId="9" applyAlignment="1" pivotButton="0" quotePrefix="0" xfId="0">
      <alignment horizontal="center" vertical="center"/>
    </xf>
    <xf numFmtId="172" fontId="16" fillId="20" borderId="9" applyAlignment="1" pivotButton="0" quotePrefix="0" xfId="0">
      <alignment horizontal="center" vertical="center"/>
    </xf>
    <xf numFmtId="173" fontId="19" fillId="20" borderId="9" applyAlignment="1" pivotButton="0" quotePrefix="0" xfId="0">
      <alignment horizontal="center" vertical="center"/>
    </xf>
    <xf numFmtId="174" fontId="17" fillId="20" borderId="9" applyAlignment="1" pivotButton="0" quotePrefix="0" xfId="0">
      <alignment horizontal="center" vertical="center"/>
    </xf>
    <xf numFmtId="170" fontId="17" fillId="20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73" fontId="19" fillId="19" borderId="9" applyAlignment="1" pivotButton="0" quotePrefix="0" xfId="0">
      <alignment horizontal="center" vertical="center"/>
    </xf>
    <xf numFmtId="0" fontId="16" fillId="21" borderId="9" applyAlignment="1" pivotButton="0" quotePrefix="0" xfId="0">
      <alignment horizontal="center" vertical="center"/>
    </xf>
    <xf numFmtId="171" fontId="17" fillId="21" borderId="9" applyAlignment="1" pivotButton="0" quotePrefix="0" xfId="0">
      <alignment horizontal="center" vertical="center"/>
    </xf>
    <xf numFmtId="0" fontId="17" fillId="21" borderId="9" applyAlignment="1" pivotButton="0" quotePrefix="0" xfId="0">
      <alignment horizontal="center" vertical="center"/>
    </xf>
    <xf numFmtId="0" fontId="17" fillId="21" borderId="9" applyAlignment="1" pivotButton="0" quotePrefix="0" xfId="0">
      <alignment horizontal="left" vertical="center"/>
    </xf>
    <xf numFmtId="1" fontId="17" fillId="21" borderId="9" applyAlignment="1" pivotButton="0" quotePrefix="0" xfId="0">
      <alignment horizontal="center" vertical="center"/>
    </xf>
    <xf numFmtId="1" fontId="16" fillId="21" borderId="9" applyAlignment="1" pivotButton="0" quotePrefix="0" xfId="0">
      <alignment horizontal="center" vertical="center"/>
    </xf>
    <xf numFmtId="165" fontId="16" fillId="21" borderId="9" applyAlignment="1" pivotButton="0" quotePrefix="0" xfId="0">
      <alignment horizontal="center" vertical="center"/>
    </xf>
    <xf numFmtId="166" fontId="19" fillId="21" borderId="9" applyAlignment="1" pivotButton="0" quotePrefix="0" xfId="0">
      <alignment horizontal="center" vertical="center"/>
    </xf>
    <xf numFmtId="10" fontId="17" fillId="21" borderId="9" applyAlignment="1" pivotButton="0" quotePrefix="0" xfId="0">
      <alignment horizontal="center" vertical="center"/>
    </xf>
    <xf numFmtId="166" fontId="17" fillId="21" borderId="9" applyAlignment="1" pivotButton="0" quotePrefix="0" xfId="0">
      <alignment horizontal="center" vertical="center"/>
    </xf>
    <xf numFmtId="172" fontId="16" fillId="21" borderId="9" applyAlignment="1" pivotButton="0" quotePrefix="0" xfId="0">
      <alignment horizontal="center" vertical="center"/>
    </xf>
    <xf numFmtId="173" fontId="19" fillId="21" borderId="9" applyAlignment="1" pivotButton="0" quotePrefix="0" xfId="0">
      <alignment horizontal="center" vertical="center"/>
    </xf>
    <xf numFmtId="174" fontId="17" fillId="21" borderId="9" applyAlignment="1" pivotButton="0" quotePrefix="0" xfId="0">
      <alignment horizontal="center" vertical="center"/>
    </xf>
    <xf numFmtId="170" fontId="17" fillId="21" borderId="9" applyAlignment="1" pivotButton="0" quotePrefix="0" xfId="0">
      <alignment horizontal="center" vertical="center"/>
    </xf>
    <xf numFmtId="165" fontId="17" fillId="18" borderId="9" applyAlignment="1" pivotButton="0" quotePrefix="0" xfId="0">
      <alignment horizontal="center" vertical="center"/>
    </xf>
    <xf numFmtId="165" fontId="17" fillId="19" borderId="9" applyAlignment="1" pivotButton="0" quotePrefix="0" xfId="0">
      <alignment horizontal="center" vertical="center"/>
    </xf>
    <xf numFmtId="165" fontId="17" fillId="21" borderId="9" applyAlignment="1" pivotButton="0" quotePrefix="0" xfId="0">
      <alignment horizontal="center" vertical="center"/>
    </xf>
    <xf numFmtId="166" fontId="20" fillId="20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showGridLines="0" tabSelected="1" zoomScale="98" workbookViewId="0">
      <pane ySplit="3" topLeftCell="A20" activePane="bottomLeft" state="frozen"/>
      <selection pane="bottomLeft" activeCell="C31" sqref="C31"/>
    </sheetView>
  </sheetViews>
  <sheetFormatPr baseColWidth="10" defaultColWidth="8.7265625" defaultRowHeight="14.5"/>
  <cols>
    <col width="22" customWidth="1" style="140" min="1" max="1"/>
    <col width="16" customWidth="1" style="140" min="2" max="2"/>
    <col width="18" customWidth="1" style="140" min="3" max="3"/>
    <col width="20" customWidth="1" style="140" min="4" max="4"/>
    <col width="14" customWidth="1" style="140" min="5" max="5"/>
    <col width="12" customWidth="1" style="140" min="6" max="6"/>
    <col width="14" customWidth="1" style="140" min="7" max="7"/>
    <col width="10" customWidth="1" style="140" min="8" max="8"/>
    <col width="12" customWidth="1" style="140" min="9" max="11"/>
    <col width="14" customWidth="1" style="140" min="12" max="13"/>
    <col width="12" customWidth="1" style="140" min="14" max="14"/>
    <col width="14" customWidth="1" style="140" min="15" max="15"/>
    <col width="12" customWidth="1" style="140" min="16" max="16"/>
    <col width="16" customWidth="1" style="140" min="17" max="17"/>
    <col width="45.7265625" customWidth="1" style="140" min="18" max="18"/>
  </cols>
  <sheetData>
    <row r="1" ht="30" customHeight="1" s="140">
      <c r="A1" s="141" t="inlineStr">
        <is>
          <t>📊  SISTEMA TRADING EUR/USD — REGISTRO DE PRUEBAS</t>
        </is>
      </c>
    </row>
    <row r="2" ht="18" customHeight="1" s="140">
      <c r="A2" s="139" t="inlineStr">
        <is>
          <t>Capital inicial: $150 USD  |  Riesgo: 1%  |  R:R mínimo 1:2  |  Actualizado: 2026-03-18</t>
        </is>
      </c>
    </row>
    <row r="3" ht="30" customHeight="1" s="140">
      <c r="A3" s="1" t="inlineStr">
        <is>
          <t>ID</t>
        </is>
      </c>
      <c r="B3" s="1" t="inlineStr">
        <is>
          <t>Fecha</t>
        </is>
      </c>
      <c r="C3" s="1" t="inlineStr">
        <is>
          <t>Versión</t>
        </is>
      </c>
      <c r="D3" s="1" t="inlineStr">
        <is>
          <t>Estrategia</t>
        </is>
      </c>
      <c r="E3" s="1" t="inlineStr">
        <is>
          <t>EMA
Fast/Slow</t>
        </is>
      </c>
      <c r="F3" s="1" t="inlineStr">
        <is>
          <t>ADX
Mín</t>
        </is>
      </c>
      <c r="G3" s="1" t="inlineStr">
        <is>
          <t>Sesión</t>
        </is>
      </c>
      <c r="H3" s="1" t="inlineStr">
        <is>
          <t>Trades</t>
        </is>
      </c>
      <c r="I3" s="1" t="inlineStr">
        <is>
          <t>Win Rate
%</t>
        </is>
      </c>
      <c r="J3" s="1" t="inlineStr">
        <is>
          <t>Sharpe
Ratio</t>
        </is>
      </c>
      <c r="K3" s="1" t="inlineStr">
        <is>
          <t>Max DD
%</t>
        </is>
      </c>
      <c r="L3" s="1" t="inlineStr">
        <is>
          <t>Profit
Factor</t>
        </is>
      </c>
      <c r="M3" s="1" t="inlineStr">
        <is>
          <t>Capital
Final $</t>
        </is>
      </c>
      <c r="N3" s="1" t="inlineStr">
        <is>
          <t>P&amp;L
Neto $</t>
        </is>
      </c>
      <c r="O3" s="1" t="inlineStr">
        <is>
          <t>Expectancy
$/trade</t>
        </is>
      </c>
      <c r="P3" s="1" t="inlineStr">
        <is>
          <t>Trades
/mes</t>
        </is>
      </c>
      <c r="Q3" s="1" t="inlineStr">
        <is>
          <t>Veredicto</t>
        </is>
      </c>
      <c r="R3" s="1" t="inlineStr">
        <is>
          <t>Notas</t>
        </is>
      </c>
    </row>
    <row r="4" ht="18" customHeight="1" s="140">
      <c r="A4" s="2" t="n">
        <v>1</v>
      </c>
      <c r="B4" s="3" t="inlineStr">
        <is>
          <t>2026-03-01</t>
        </is>
      </c>
      <c r="C4" s="2" t="inlineStr">
        <is>
          <t>v1.0</t>
        </is>
      </c>
      <c r="D4" s="4" t="inlineStr">
        <is>
          <t>EMA Backtest Sintético</t>
        </is>
      </c>
      <c r="E4" s="2" t="inlineStr">
        <is>
          <t>20/50</t>
        </is>
      </c>
      <c r="F4" s="5" t="n">
        <v>0</v>
      </c>
      <c r="G4" s="2" t="inlineStr">
        <is>
          <t>Sin filtro</t>
        </is>
      </c>
      <c r="H4" s="5" t="n">
        <v>43</v>
      </c>
      <c r="I4" s="6" t="n">
        <v>0.2093</v>
      </c>
      <c r="J4" s="7" t="n">
        <v>-4.88</v>
      </c>
      <c r="K4" s="8" t="n">
        <v>0.1422</v>
      </c>
      <c r="L4" s="9" t="n">
        <v>0.526</v>
      </c>
      <c r="M4" s="10" t="n">
        <v>127.81</v>
      </c>
      <c r="N4" s="11" t="n">
        <v>-22.19</v>
      </c>
      <c r="O4" s="12" t="n">
        <v>-0.516</v>
      </c>
      <c r="P4" s="13" t="n">
        <v>2.9</v>
      </c>
      <c r="Q4" s="4" t="inlineStr">
        <is>
          <t>❌ No rentable</t>
        </is>
      </c>
      <c r="R4" s="4" t="inlineStr">
        <is>
          <t>Datos sintéticos, parámetros defecto</t>
        </is>
      </c>
    </row>
    <row r="5" ht="18" customHeight="1" s="140">
      <c r="A5" s="14" t="n">
        <v>2</v>
      </c>
      <c r="B5" s="15" t="inlineStr">
        <is>
          <t>2026-03-01</t>
        </is>
      </c>
      <c r="C5" s="14" t="inlineStr">
        <is>
          <t>v1.0</t>
        </is>
      </c>
      <c r="D5" s="16" t="inlineStr">
        <is>
          <t>EMA Backtest Optimizado</t>
        </is>
      </c>
      <c r="E5" s="14" t="inlineStr">
        <is>
          <t>10/30</t>
        </is>
      </c>
      <c r="F5" s="17" t="n">
        <v>0</v>
      </c>
      <c r="G5" s="14" t="inlineStr">
        <is>
          <t>Sin filtro</t>
        </is>
      </c>
      <c r="H5" s="17" t="n">
        <v>59</v>
      </c>
      <c r="I5" s="18" t="n">
        <v>0.3729</v>
      </c>
      <c r="J5" s="19" t="n">
        <v>1.196</v>
      </c>
      <c r="K5" s="20" t="n">
        <v>0.07780000000000001</v>
      </c>
      <c r="L5" s="21" t="n">
        <v>1.173</v>
      </c>
      <c r="M5" s="22" t="n">
        <v>159.88</v>
      </c>
      <c r="N5" s="23" t="n">
        <v>9.880000000000001</v>
      </c>
      <c r="O5" s="24" t="n">
        <v>0.167</v>
      </c>
      <c r="P5" s="25" t="n">
        <v>4</v>
      </c>
      <c r="Q5" s="16" t="inlineStr">
        <is>
          <t>✅ Sharpe 1.2</t>
        </is>
      </c>
      <c r="R5" s="16" t="inlineStr">
        <is>
          <t>Mejor combo post-optimización</t>
        </is>
      </c>
    </row>
    <row r="6" ht="18" customHeight="1" s="140">
      <c r="A6" s="26" t="n">
        <v>3</v>
      </c>
      <c r="B6" s="27" t="inlineStr">
        <is>
          <t>2026-03-02</t>
        </is>
      </c>
      <c r="C6" s="26" t="inlineStr">
        <is>
          <t>v1.1</t>
        </is>
      </c>
      <c r="D6" s="28" t="inlineStr">
        <is>
          <t>H4 Solo (datos MT5 reales)</t>
        </is>
      </c>
      <c r="E6" s="26" t="inlineStr">
        <is>
          <t>10/30</t>
        </is>
      </c>
      <c r="F6" s="29" t="n">
        <v>0</v>
      </c>
      <c r="G6" s="26" t="inlineStr">
        <is>
          <t>Sin filtro</t>
        </is>
      </c>
      <c r="H6" s="29" t="n">
        <v>53</v>
      </c>
      <c r="I6" s="30" t="n">
        <v>0.3585</v>
      </c>
      <c r="J6" s="31" t="n">
        <v>0.75</v>
      </c>
      <c r="K6" s="32" t="n">
        <v>0.1238</v>
      </c>
      <c r="L6" s="31" t="n">
        <v>1.105</v>
      </c>
      <c r="M6" s="33" t="n">
        <v>155.27</v>
      </c>
      <c r="N6" s="34" t="n">
        <v>5.27</v>
      </c>
      <c r="O6" s="35" t="n">
        <v>0.099</v>
      </c>
      <c r="P6" s="36" t="n">
        <v>3.5</v>
      </c>
      <c r="Q6" s="28" t="inlineStr">
        <is>
          <t>⚠️ Débil</t>
        </is>
      </c>
      <c r="R6" s="28" t="inlineStr">
        <is>
          <t>Primeros datos reales MT5 — 2000 barras</t>
        </is>
      </c>
    </row>
    <row r="7" ht="18" customHeight="1" s="140">
      <c r="A7" s="14" t="n">
        <v>4</v>
      </c>
      <c r="B7" s="15" t="inlineStr">
        <is>
          <t>2026-03-02</t>
        </is>
      </c>
      <c r="C7" s="14" t="inlineStr">
        <is>
          <t>v1.2</t>
        </is>
      </c>
      <c r="D7" s="16" t="inlineStr">
        <is>
          <t>H4 + Sesión London_NY</t>
        </is>
      </c>
      <c r="E7" s="14" t="inlineStr">
        <is>
          <t>10/30</t>
        </is>
      </c>
      <c r="F7" s="17" t="n">
        <v>0</v>
      </c>
      <c r="G7" s="14" t="inlineStr">
        <is>
          <t>London_NY</t>
        </is>
      </c>
      <c r="H7" s="17" t="n">
        <v>45</v>
      </c>
      <c r="I7" s="18" t="n">
        <v>0.3778</v>
      </c>
      <c r="J7" s="19" t="n">
        <v>1.36</v>
      </c>
      <c r="K7" s="20" t="n">
        <v>0.077</v>
      </c>
      <c r="L7" s="21" t="n">
        <v>1.2</v>
      </c>
      <c r="M7" s="22" t="n">
        <v>158.52</v>
      </c>
      <c r="N7" s="23" t="n">
        <v>8.52</v>
      </c>
      <c r="O7" s="24" t="n">
        <v>0.189</v>
      </c>
      <c r="P7" s="25" t="n">
        <v>3</v>
      </c>
      <c r="Q7" s="16" t="inlineStr">
        <is>
          <t>✅ Bueno</t>
        </is>
      </c>
      <c r="R7" s="16" t="inlineStr">
        <is>
          <t>Filtro sesión mejora Sharpe</t>
        </is>
      </c>
    </row>
    <row r="8" ht="18" customHeight="1" s="140">
      <c r="A8" s="26" t="n">
        <v>5</v>
      </c>
      <c r="B8" s="27" t="inlineStr">
        <is>
          <t>2026-03-03</t>
        </is>
      </c>
      <c r="C8" s="26" t="inlineStr">
        <is>
          <t>v2.0</t>
        </is>
      </c>
      <c r="D8" s="28" t="inlineStr">
        <is>
          <t>H4 + Sesión + M15 Conf.</t>
        </is>
      </c>
      <c r="E8" s="26" t="inlineStr">
        <is>
          <t>10/30</t>
        </is>
      </c>
      <c r="F8" s="29" t="n">
        <v>0</v>
      </c>
      <c r="G8" s="26" t="inlineStr">
        <is>
          <t>London_NY</t>
        </is>
      </c>
      <c r="H8" s="29" t="n">
        <v>4</v>
      </c>
      <c r="I8" s="30" t="n">
        <v>0.5</v>
      </c>
      <c r="J8" s="37" t="n">
        <v>5.19</v>
      </c>
      <c r="K8" s="32" t="n">
        <v>0.02</v>
      </c>
      <c r="L8" s="31" t="n">
        <v>1.97</v>
      </c>
      <c r="M8" s="33" t="n">
        <v>152.95</v>
      </c>
      <c r="N8" s="34" t="n">
        <v>2.95</v>
      </c>
      <c r="O8" s="35" t="n">
        <v>0.739</v>
      </c>
      <c r="P8" s="36" t="n">
        <v>0.3</v>
      </c>
      <c r="Q8" s="28" t="inlineStr">
        <is>
          <t>⚠️ Pocos trades</t>
        </is>
      </c>
      <c r="R8" s="28" t="inlineStr">
        <is>
          <t>Solo 4 trades — sin validez estadística</t>
        </is>
      </c>
    </row>
    <row r="9" ht="18" customHeight="1" s="140">
      <c r="A9" s="14" t="n">
        <v>6</v>
      </c>
      <c r="B9" s="15" t="inlineStr">
        <is>
          <t>2026-03-05</t>
        </is>
      </c>
      <c r="C9" s="14" t="inlineStr">
        <is>
          <t>v2.1</t>
        </is>
      </c>
      <c r="D9" s="16" t="inlineStr">
        <is>
          <t>Cruce EMA + ADX20 + Strict</t>
        </is>
      </c>
      <c r="E9" s="14" t="inlineStr">
        <is>
          <t>10/30</t>
        </is>
      </c>
      <c r="F9" s="17" t="n">
        <v>20</v>
      </c>
      <c r="G9" s="14" t="inlineStr">
        <is>
          <t>London_NY</t>
        </is>
      </c>
      <c r="H9" s="17" t="n">
        <v>30</v>
      </c>
      <c r="I9" s="18" t="n">
        <v>0.4</v>
      </c>
      <c r="J9" s="19" t="n">
        <v>2.07</v>
      </c>
      <c r="K9" s="20" t="n">
        <v>0.0501</v>
      </c>
      <c r="L9" s="21" t="n">
        <v>1.317</v>
      </c>
      <c r="M9" s="22" t="n">
        <v>158.75</v>
      </c>
      <c r="N9" s="23" t="n">
        <v>8.75</v>
      </c>
      <c r="O9" s="24" t="n">
        <v>0.292</v>
      </c>
      <c r="P9" s="25" t="n">
        <v>2</v>
      </c>
      <c r="Q9" s="16" t="inlineStr">
        <is>
          <t>✅ Bueno</t>
        </is>
      </c>
      <c r="R9" s="16" t="inlineStr">
        <is>
          <t>ADX bajado a 20, trailing stop activo</t>
        </is>
      </c>
    </row>
    <row r="10" ht="18" customHeight="1" s="140">
      <c r="A10" s="26" t="n">
        <v>7</v>
      </c>
      <c r="B10" s="27" t="inlineStr">
        <is>
          <t>2026-03-07</t>
        </is>
      </c>
      <c r="C10" s="26" t="inlineStr">
        <is>
          <t>v3.0</t>
        </is>
      </c>
      <c r="D10" s="28" t="inlineStr">
        <is>
          <t>Cruce + Pullback (ambos)</t>
        </is>
      </c>
      <c r="E10" s="26" t="inlineStr">
        <is>
          <t>10/30</t>
        </is>
      </c>
      <c r="F10" s="29" t="n">
        <v>20</v>
      </c>
      <c r="G10" s="26" t="inlineStr">
        <is>
          <t>London_NY</t>
        </is>
      </c>
      <c r="H10" s="29" t="n">
        <v>26</v>
      </c>
      <c r="I10" s="30" t="n">
        <v>0.6153999999999999</v>
      </c>
      <c r="J10" s="37" t="n">
        <v>1.57</v>
      </c>
      <c r="K10" s="32" t="n">
        <v>0.044</v>
      </c>
      <c r="L10" s="31" t="n">
        <v>1.62</v>
      </c>
      <c r="M10" s="33" t="n">
        <v>153.43</v>
      </c>
      <c r="N10" s="34" t="n">
        <v>3.43</v>
      </c>
      <c r="O10" s="35" t="n">
        <v>0.132</v>
      </c>
      <c r="P10" s="36" t="n">
        <v>1.7</v>
      </c>
      <c r="Q10" s="28" t="inlineStr">
        <is>
          <t>⚠️ Mixto</t>
        </is>
      </c>
      <c r="R10" s="28" t="inlineStr">
        <is>
          <t>Pullback agrega trades pero baja Sharpe</t>
        </is>
      </c>
    </row>
    <row r="11" ht="18" customHeight="1" s="140">
      <c r="A11" s="2" t="n">
        <v>8</v>
      </c>
      <c r="B11" s="3" t="inlineStr">
        <is>
          <t>2026-03-10</t>
        </is>
      </c>
      <c r="C11" s="2" t="inlineStr">
        <is>
          <t>v4.0</t>
        </is>
      </c>
      <c r="D11" s="4" t="inlineStr">
        <is>
          <t>7 Indicadores — Momentum</t>
        </is>
      </c>
      <c r="E11" s="2" t="inlineStr">
        <is>
          <t>10/30</t>
        </is>
      </c>
      <c r="F11" s="5" t="n">
        <v>20</v>
      </c>
      <c r="G11" s="2" t="inlineStr">
        <is>
          <t>London_NY</t>
        </is>
      </c>
      <c r="H11" s="5" t="n">
        <v>52</v>
      </c>
      <c r="I11" s="6" t="n">
        <v>0.5385</v>
      </c>
      <c r="J11" s="7" t="n">
        <v>-1.68</v>
      </c>
      <c r="K11" s="8" t="n">
        <v>0.076</v>
      </c>
      <c r="L11" s="9" t="n">
        <v>0.91</v>
      </c>
      <c r="M11" s="10" t="n">
        <v>143.08</v>
      </c>
      <c r="N11" s="11" t="n">
        <v>-6.92</v>
      </c>
      <c r="O11" s="12" t="n">
        <v>-0.133</v>
      </c>
      <c r="P11" s="13" t="n">
        <v>3.5</v>
      </c>
      <c r="Q11" s="4" t="inlineStr">
        <is>
          <t>❌ Negativo</t>
        </is>
      </c>
      <c r="R11" s="4" t="inlineStr">
        <is>
          <t>Datos sintéticos — necesita datos MT5 reales</t>
        </is>
      </c>
    </row>
    <row r="12" ht="18" customHeight="1" s="140">
      <c r="A12" s="65" t="n">
        <v>9</v>
      </c>
      <c r="B12" s="27" t="inlineStr">
        <is>
          <t>2026-03-18</t>
        </is>
      </c>
      <c r="C12" s="26" t="inlineStr">
        <is>
          <t>v4</t>
        </is>
      </c>
      <c r="D12" s="28" t="inlineStr">
        <is>
          <t>1. Reversión (BB+RSI+Stoch)</t>
        </is>
      </c>
      <c r="E12" s="26" t="inlineStr">
        <is>
          <t>10/30</t>
        </is>
      </c>
      <c r="F12" s="29" t="n">
        <v>20</v>
      </c>
      <c r="G12" s="26" t="inlineStr">
        <is>
          <t>london_ny</t>
        </is>
      </c>
      <c r="H12" s="66" t="n">
        <v>6</v>
      </c>
      <c r="I12" s="67" t="n">
        <v>0.5</v>
      </c>
      <c r="J12" s="68" t="n">
        <v>-4.4</v>
      </c>
      <c r="K12" s="32" t="n">
        <v>0.0297</v>
      </c>
      <c r="L12" s="31" t="n">
        <v>0.5659999999999999</v>
      </c>
      <c r="M12" s="69" t="n">
        <v>148.03</v>
      </c>
      <c r="N12" s="70" t="n">
        <v>-1.9668</v>
      </c>
      <c r="O12" s="35" t="n">
        <v>-0.3278</v>
      </c>
      <c r="P12" s="36" t="n">
        <v>0.1</v>
      </c>
      <c r="Q12" s="28" t="inlineStr">
        <is>
          <t>⚠️ Pocos trades</t>
        </is>
      </c>
      <c r="R12" s="28" t="inlineStr">
        <is>
          <t>Run automático 00:15</t>
        </is>
      </c>
    </row>
    <row r="13" ht="18" customHeight="1" s="140">
      <c r="A13" s="71" t="n">
        <v>10</v>
      </c>
      <c r="B13" s="3" t="inlineStr">
        <is>
          <t>2026-03-18</t>
        </is>
      </c>
      <c r="C13" s="2" t="inlineStr">
        <is>
          <t>v4</t>
        </is>
      </c>
      <c r="D13" s="4" t="inlineStr">
        <is>
          <t>2. Cruce EMA (EMA+MACD+ADX)</t>
        </is>
      </c>
      <c r="E13" s="2" t="inlineStr">
        <is>
          <t>10/30</t>
        </is>
      </c>
      <c r="F13" s="5" t="n">
        <v>20</v>
      </c>
      <c r="G13" s="2" t="inlineStr">
        <is>
          <t>london_ny</t>
        </is>
      </c>
      <c r="H13" s="72" t="n">
        <v>14</v>
      </c>
      <c r="I13" s="73" t="n">
        <v>0.5</v>
      </c>
      <c r="J13" s="7" t="n">
        <v>-1.858</v>
      </c>
      <c r="K13" s="8" t="n">
        <v>0.0436</v>
      </c>
      <c r="L13" s="9" t="n">
        <v>0.785</v>
      </c>
      <c r="M13" s="74" t="n">
        <v>147.77</v>
      </c>
      <c r="N13" s="11" t="n">
        <v>-2.2336</v>
      </c>
      <c r="O13" s="12" t="n">
        <v>-0.1596</v>
      </c>
      <c r="P13" s="13" t="n">
        <v>0.3</v>
      </c>
      <c r="Q13" s="4" t="inlineStr">
        <is>
          <t>❌ Negativo</t>
        </is>
      </c>
      <c r="R13" s="4" t="inlineStr">
        <is>
          <t>Run automático 00:15</t>
        </is>
      </c>
    </row>
    <row r="14" ht="18" customHeight="1" s="140">
      <c r="A14" s="71" t="n">
        <v>11</v>
      </c>
      <c r="B14" s="3" t="inlineStr">
        <is>
          <t>2026-03-18</t>
        </is>
      </c>
      <c r="C14" s="2" t="inlineStr">
        <is>
          <t>v4</t>
        </is>
      </c>
      <c r="D14" s="4" t="inlineStr">
        <is>
          <t>4. Momentum (RSI+MACD+SMA200)</t>
        </is>
      </c>
      <c r="E14" s="2" t="inlineStr">
        <is>
          <t>10/30</t>
        </is>
      </c>
      <c r="F14" s="5" t="n">
        <v>20</v>
      </c>
      <c r="G14" s="2" t="inlineStr">
        <is>
          <t>london_ny</t>
        </is>
      </c>
      <c r="H14" s="72" t="n">
        <v>52</v>
      </c>
      <c r="I14" s="73" t="n">
        <v>0.5385</v>
      </c>
      <c r="J14" s="7" t="n">
        <v>-1.683</v>
      </c>
      <c r="K14" s="8" t="n">
        <v>0.0761</v>
      </c>
      <c r="L14" s="9" t="n">
        <v>0.803</v>
      </c>
      <c r="M14" s="74" t="n">
        <v>143.08</v>
      </c>
      <c r="N14" s="11" t="n">
        <v>-6.9164</v>
      </c>
      <c r="O14" s="12" t="n">
        <v>-0.133</v>
      </c>
      <c r="P14" s="13" t="n">
        <v>1.2</v>
      </c>
      <c r="Q14" s="4" t="inlineStr">
        <is>
          <t>❌ Negativo</t>
        </is>
      </c>
      <c r="R14" s="4" t="inlineStr">
        <is>
          <t>Run automático 00:15</t>
        </is>
      </c>
    </row>
    <row r="15" ht="18" customHeight="1" s="140">
      <c r="A15" s="71" t="n">
        <v>12</v>
      </c>
      <c r="B15" s="3" t="inlineStr">
        <is>
          <t>2026-03-18</t>
        </is>
      </c>
      <c r="C15" s="2" t="inlineStr">
        <is>
          <t>v4</t>
        </is>
      </c>
      <c r="D15" s="4" t="inlineStr">
        <is>
          <t>5. Pullback EMA</t>
        </is>
      </c>
      <c r="E15" s="2" t="inlineStr">
        <is>
          <t>10/30</t>
        </is>
      </c>
      <c r="F15" s="5" t="n">
        <v>20</v>
      </c>
      <c r="G15" s="2" t="inlineStr">
        <is>
          <t>london_ny</t>
        </is>
      </c>
      <c r="H15" s="72" t="n">
        <v>13</v>
      </c>
      <c r="I15" s="73" t="n">
        <v>0.4615</v>
      </c>
      <c r="J15" s="7" t="n">
        <v>-4.648</v>
      </c>
      <c r="K15" s="8" t="n">
        <v>0.0371</v>
      </c>
      <c r="L15" s="9" t="n">
        <v>0.551</v>
      </c>
      <c r="M15" s="74" t="n">
        <v>145.33</v>
      </c>
      <c r="N15" s="11" t="n">
        <v>-4.6689</v>
      </c>
      <c r="O15" s="12" t="n">
        <v>-0.3591</v>
      </c>
      <c r="P15" s="13" t="n">
        <v>0.3</v>
      </c>
      <c r="Q15" s="4" t="inlineStr">
        <is>
          <t>❌ Negativo</t>
        </is>
      </c>
      <c r="R15" s="4" t="inlineStr">
        <is>
          <t>Run automático 00:15</t>
        </is>
      </c>
    </row>
    <row r="16" ht="18" customHeight="1" s="140">
      <c r="A16" s="71" t="n">
        <v>13</v>
      </c>
      <c r="B16" s="3" t="inlineStr">
        <is>
          <t>2026-03-18</t>
        </is>
      </c>
      <c r="C16" s="2" t="inlineStr">
        <is>
          <t>v4</t>
        </is>
      </c>
      <c r="D16" s="4" t="inlineStr">
        <is>
          <t>6. TODAS combinadas</t>
        </is>
      </c>
      <c r="E16" s="2" t="inlineStr">
        <is>
          <t>10/30</t>
        </is>
      </c>
      <c r="F16" s="5" t="n">
        <v>20</v>
      </c>
      <c r="G16" s="2" t="inlineStr">
        <is>
          <t>london_ny</t>
        </is>
      </c>
      <c r="H16" s="72" t="n">
        <v>68</v>
      </c>
      <c r="I16" s="73" t="n">
        <v>0.5440999999999999</v>
      </c>
      <c r="J16" s="7" t="n">
        <v>-1.476</v>
      </c>
      <c r="K16" s="8" t="n">
        <v>0.0726</v>
      </c>
      <c r="L16" s="9" t="n">
        <v>0.824</v>
      </c>
      <c r="M16" s="74" t="n">
        <v>141.92</v>
      </c>
      <c r="N16" s="11" t="n">
        <v>-8.076499999999999</v>
      </c>
      <c r="O16" s="12" t="n">
        <v>-0.1188</v>
      </c>
      <c r="P16" s="13" t="n">
        <v>1.5</v>
      </c>
      <c r="Q16" s="4" t="inlineStr">
        <is>
          <t>❌ Negativo</t>
        </is>
      </c>
      <c r="R16" s="4" t="inlineStr">
        <is>
          <t>Run automático 00:15</t>
        </is>
      </c>
    </row>
    <row r="17" ht="18" customHeight="1" s="140">
      <c r="A17" s="76" t="n">
        <v>14</v>
      </c>
      <c r="B17" s="77" t="inlineStr">
        <is>
          <t>2026-03-18</t>
        </is>
      </c>
      <c r="C17" s="78" t="inlineStr">
        <is>
          <t>v4.2</t>
        </is>
      </c>
      <c r="D17" s="79" t="inlineStr">
        <is>
          <t>1. Reversion BB+RSI+Stoch</t>
        </is>
      </c>
      <c r="E17" s="78" t="inlineStr">
        <is>
          <t>10/50</t>
        </is>
      </c>
      <c r="F17" s="80" t="n">
        <v>15</v>
      </c>
      <c r="G17" s="78" t="inlineStr">
        <is>
          <t>london_ny</t>
        </is>
      </c>
      <c r="H17" s="81" t="n">
        <v>13</v>
      </c>
      <c r="I17" s="82" t="n">
        <v>0.2308</v>
      </c>
      <c r="J17" s="83" t="n">
        <v>-9.57</v>
      </c>
      <c r="K17" s="84" t="n">
        <v>0.101</v>
      </c>
      <c r="L17" s="85" t="n">
        <v>0.35</v>
      </c>
      <c r="M17" s="86" t="n">
        <v>135.21</v>
      </c>
      <c r="N17" s="87" t="n">
        <v>-14.79</v>
      </c>
      <c r="O17" s="88" t="n">
        <v>-1.138</v>
      </c>
      <c r="P17" s="89" t="n">
        <v>0.3</v>
      </c>
      <c r="Q17" s="79" t="inlineStr">
        <is>
          <t>NEGATIVO</t>
        </is>
      </c>
      <c r="R17" s="79" t="inlineStr">
        <is>
          <t>Datos MT5 8000 barras reales</t>
        </is>
      </c>
    </row>
    <row r="18" ht="18" customHeight="1" s="140">
      <c r="A18" s="136" t="n">
        <v>15</v>
      </c>
      <c r="B18" s="137" t="n"/>
      <c r="C18" s="138" t="n"/>
      <c r="D18" s="93" t="inlineStr">
        <is>
          <t>2. Cruce EMA+MACD+ADX</t>
        </is>
      </c>
      <c r="E18" s="92" t="inlineStr">
        <is>
          <t>10/50</t>
        </is>
      </c>
      <c r="F18" s="94" t="n">
        <v>15</v>
      </c>
      <c r="G18" s="92" t="inlineStr">
        <is>
          <t>london_ny</t>
        </is>
      </c>
      <c r="H18" s="95" t="n">
        <v>4</v>
      </c>
      <c r="I18" s="96" t="n">
        <v>0.25</v>
      </c>
      <c r="J18" s="97" t="n">
        <v>-12.25</v>
      </c>
      <c r="K18" s="98" t="n">
        <v>0.044</v>
      </c>
      <c r="L18" s="99" t="n">
        <v>0</v>
      </c>
      <c r="M18" s="100" t="n">
        <v>144.93</v>
      </c>
      <c r="N18" s="101" t="n">
        <v>-5.07</v>
      </c>
      <c r="O18" s="102" t="n">
        <v>-1.268</v>
      </c>
      <c r="P18" s="103" t="n">
        <v>0.1</v>
      </c>
      <c r="Q18" s="93" t="inlineStr">
        <is>
          <t>Pocos trades</t>
        </is>
      </c>
      <c r="R18" s="93" t="inlineStr">
        <is>
          <t>Solo 4 trades sin validez estadistica</t>
        </is>
      </c>
    </row>
    <row r="19" ht="18" customHeight="1" s="140">
      <c r="A19" s="76" t="n">
        <v>16</v>
      </c>
      <c r="B19" s="77" t="inlineStr">
        <is>
          <t>2026-03-18</t>
        </is>
      </c>
      <c r="C19" s="78" t="inlineStr">
        <is>
          <t>v4.2</t>
        </is>
      </c>
      <c r="D19" s="79" t="inlineStr">
        <is>
          <t>3. Breakout BB+S/R</t>
        </is>
      </c>
      <c r="E19" s="78" t="inlineStr">
        <is>
          <t>10/50</t>
        </is>
      </c>
      <c r="F19" s="80" t="n">
        <v>15</v>
      </c>
      <c r="G19" s="78" t="inlineStr">
        <is>
          <t>london_ny</t>
        </is>
      </c>
      <c r="H19" s="81" t="n">
        <v>11</v>
      </c>
      <c r="I19" s="82" t="n">
        <v>0.1818</v>
      </c>
      <c r="J19" s="83" t="n">
        <v>-8.32</v>
      </c>
      <c r="K19" s="84" t="n">
        <v>0.08400000000000001</v>
      </c>
      <c r="L19" s="85" t="n">
        <v>0.35</v>
      </c>
      <c r="M19" s="86" t="n">
        <v>137.46</v>
      </c>
      <c r="N19" s="87" t="n">
        <v>-12.54</v>
      </c>
      <c r="O19" s="88" t="n">
        <v>-1.14</v>
      </c>
      <c r="P19" s="89" t="n">
        <v>0.3</v>
      </c>
      <c r="Q19" s="79" t="inlineStr">
        <is>
          <t>NEGATIVO</t>
        </is>
      </c>
      <c r="R19" s="79" t="inlineStr">
        <is>
          <t>WR 18% muy bajo</t>
        </is>
      </c>
      <c r="T19" s="75" t="inlineStr">
        <is>
          <t>RESUMEN AUTOMÁTICO</t>
        </is>
      </c>
    </row>
    <row r="20" ht="18" customHeight="1" s="140">
      <c r="A20" s="104" t="n">
        <v>17</v>
      </c>
      <c r="B20" s="105" t="inlineStr">
        <is>
          <t>2026-03-18</t>
        </is>
      </c>
      <c r="C20" s="106" t="inlineStr">
        <is>
          <t>v4.2</t>
        </is>
      </c>
      <c r="D20" s="107" t="inlineStr">
        <is>
          <t>4. Momentum RSI+MACD+SMA200  MEJOR</t>
        </is>
      </c>
      <c r="E20" s="106" t="inlineStr">
        <is>
          <t>10/50</t>
        </is>
      </c>
      <c r="F20" s="108" t="n">
        <v>15</v>
      </c>
      <c r="G20" s="106" t="inlineStr">
        <is>
          <t>london_ny</t>
        </is>
      </c>
      <c r="H20" s="109" t="n">
        <v>26</v>
      </c>
      <c r="I20" s="110" t="n">
        <v>0.5</v>
      </c>
      <c r="J20" s="111" t="n">
        <v>2.11</v>
      </c>
      <c r="K20" s="112" t="n">
        <v>0.031</v>
      </c>
      <c r="L20" s="113" t="n">
        <v>1.52</v>
      </c>
      <c r="M20" s="114" t="n">
        <v>159.68</v>
      </c>
      <c r="N20" s="115" t="n">
        <v>9.68</v>
      </c>
      <c r="O20" s="116" t="n">
        <v>0.373</v>
      </c>
      <c r="P20" s="117" t="n">
        <v>0.6</v>
      </c>
      <c r="Q20" s="107" t="inlineStr">
        <is>
          <t>BUENO</t>
        </is>
      </c>
      <c r="R20" s="107" t="inlineStr">
        <is>
          <t>MEJOR del run — Sharpe 2.11 con datos reales 5 anos</t>
        </is>
      </c>
      <c r="T20" s="38" t="inlineStr">
        <is>
          <t>Total pruebas</t>
        </is>
      </c>
      <c r="U20" s="39">
        <f>COUNTA(A4:A22)</f>
        <v/>
      </c>
    </row>
    <row r="21" ht="18" customHeight="1" s="140">
      <c r="A21" s="136" t="n">
        <v>18</v>
      </c>
      <c r="B21" s="91" t="inlineStr">
        <is>
          <t>2026-03-18</t>
        </is>
      </c>
      <c r="C21" s="92" t="inlineStr">
        <is>
          <t>v4.2</t>
        </is>
      </c>
      <c r="D21" s="93" t="inlineStr">
        <is>
          <t>5. Pullback Retroceso EMA</t>
        </is>
      </c>
      <c r="E21" s="92" t="inlineStr">
        <is>
          <t>10/50</t>
        </is>
      </c>
      <c r="F21" s="94" t="n">
        <v>15</v>
      </c>
      <c r="G21" s="92" t="inlineStr">
        <is>
          <t>london_ny</t>
        </is>
      </c>
      <c r="H21" s="95" t="n">
        <v>4</v>
      </c>
      <c r="I21" s="96" t="n">
        <v>0.75</v>
      </c>
      <c r="J21" s="118" t="n">
        <v>11.51</v>
      </c>
      <c r="K21" s="98" t="n">
        <v>0.015</v>
      </c>
      <c r="L21" s="99" t="n">
        <v>3.92</v>
      </c>
      <c r="M21" s="100" t="n">
        <v>156.82</v>
      </c>
      <c r="N21" s="119" t="n">
        <v>6.82</v>
      </c>
      <c r="O21" s="102" t="n">
        <v>1.705</v>
      </c>
      <c r="P21" s="103" t="n">
        <v>0.1</v>
      </c>
      <c r="Q21" s="93" t="inlineStr">
        <is>
          <t>Pocos trades</t>
        </is>
      </c>
      <c r="R21" s="93" t="inlineStr">
        <is>
          <t>4 trades — Sharpe no estadistico</t>
        </is>
      </c>
      <c r="T21" s="38" t="inlineStr">
        <is>
          <t>Pruebas rentables</t>
        </is>
      </c>
      <c r="U21" s="39">
        <f>COUNTIF(Q4:Q22,"✅*")</f>
        <v/>
      </c>
    </row>
    <row r="22" ht="18" customHeight="1" s="140">
      <c r="A22" s="104" t="n">
        <v>19</v>
      </c>
      <c r="B22" s="105" t="inlineStr">
        <is>
          <t>2026-03-18</t>
        </is>
      </c>
      <c r="C22" s="106" t="inlineStr">
        <is>
          <t>v4.2</t>
        </is>
      </c>
      <c r="D22" s="107" t="inlineStr">
        <is>
          <t>6. TODAS combinadas</t>
        </is>
      </c>
      <c r="E22" s="106" t="inlineStr">
        <is>
          <t>10/50</t>
        </is>
      </c>
      <c r="F22" s="108" t="n">
        <v>15</v>
      </c>
      <c r="G22" s="106" t="inlineStr">
        <is>
          <t>london_ny</t>
        </is>
      </c>
      <c r="H22" s="109" t="n">
        <v>26</v>
      </c>
      <c r="I22" s="110" t="n">
        <v>0.5</v>
      </c>
      <c r="J22" s="111" t="n">
        <v>2.11</v>
      </c>
      <c r="K22" s="112" t="n">
        <v>0.031</v>
      </c>
      <c r="L22" s="113" t="n">
        <v>1.52</v>
      </c>
      <c r="M22" s="114" t="n">
        <v>159.68</v>
      </c>
      <c r="N22" s="115" t="n">
        <v>9.68</v>
      </c>
      <c r="O22" s="116" t="n">
        <v>0.373</v>
      </c>
      <c r="P22" s="117" t="n">
        <v>0.6</v>
      </c>
      <c r="Q22" s="107" t="inlineStr">
        <is>
          <t>BUENO</t>
        </is>
      </c>
      <c r="R22" s="107" t="inlineStr">
        <is>
          <t>MC Ruina 19.5% FIX atr_tp1_mult a 2.0</t>
        </is>
      </c>
      <c r="T22" s="38" t="inlineStr">
        <is>
          <t>Mejor Sharpe</t>
        </is>
      </c>
      <c r="U22" s="39">
        <f>MAX(J4:J22)</f>
        <v/>
      </c>
    </row>
    <row r="23" ht="18" customHeight="1" s="140">
      <c r="A23" s="76" t="n">
        <v>20</v>
      </c>
      <c r="B23" s="77" t="inlineStr">
        <is>
          <t>2026-03-18</t>
        </is>
      </c>
      <c r="C23" s="78" t="inlineStr">
        <is>
          <t>v4.2</t>
        </is>
      </c>
      <c r="D23" s="79" t="inlineStr">
        <is>
          <t>1. Reversion  (BB+RSI+Stoch)</t>
        </is>
      </c>
      <c r="E23" s="78" t="inlineStr">
        <is>
          <t>10/50</t>
        </is>
      </c>
      <c r="F23" s="80" t="n">
        <v>12</v>
      </c>
      <c r="G23" s="78" t="inlineStr">
        <is>
          <t>london_ny</t>
        </is>
      </c>
      <c r="H23" s="81" t="n">
        <v>13</v>
      </c>
      <c r="I23" s="120" t="n">
        <v>0.2308</v>
      </c>
      <c r="J23" s="83" t="n">
        <v>-9.566000000000001</v>
      </c>
      <c r="K23" s="84" t="n">
        <v>0.0683</v>
      </c>
      <c r="L23" s="85" t="n">
        <v>0.318</v>
      </c>
      <c r="M23" s="86" t="n">
        <v>140.02</v>
      </c>
      <c r="N23" s="87" t="n">
        <v>-9.9796</v>
      </c>
      <c r="O23" s="88" t="n">
        <v>-0.7677</v>
      </c>
      <c r="P23" s="89" t="n">
        <v>0.3</v>
      </c>
      <c r="Q23" s="79" t="inlineStr">
        <is>
          <t>NEGATIVO</t>
        </is>
      </c>
      <c r="R23" s="79" t="inlineStr">
        <is>
          <t>Auto 01:15</t>
        </is>
      </c>
      <c r="T23" s="38" t="inlineStr">
        <is>
          <t>Mejor Win Rate</t>
        </is>
      </c>
      <c r="U23" s="39">
        <f>MAX(I4:I22)</f>
        <v/>
      </c>
    </row>
    <row r="24">
      <c r="A24" s="136" t="n">
        <v>28</v>
      </c>
      <c r="B24" s="91" t="inlineStr">
        <is>
          <t>2026-03-18</t>
        </is>
      </c>
      <c r="C24" s="92" t="inlineStr">
        <is>
          <t>v4.2</t>
        </is>
      </c>
      <c r="D24" s="93" t="inlineStr">
        <is>
          <t>2. Cruce EMA  (EMA+MACD+ADX)</t>
        </is>
      </c>
      <c r="E24" s="92" t="inlineStr">
        <is>
          <t>10/50</t>
        </is>
      </c>
      <c r="F24" s="94" t="n">
        <v>12</v>
      </c>
      <c r="G24" s="92" t="inlineStr">
        <is>
          <t>london_ny</t>
        </is>
      </c>
      <c r="H24" s="95" t="n">
        <v>4</v>
      </c>
      <c r="I24" s="121" t="n">
        <v>0.25</v>
      </c>
      <c r="J24" s="97" t="n">
        <v>-12.165</v>
      </c>
      <c r="K24" s="98" t="n">
        <v>0.0297</v>
      </c>
      <c r="L24" s="99" t="n">
        <v>0.24</v>
      </c>
      <c r="M24" s="100" t="n">
        <v>146.61</v>
      </c>
      <c r="N24" s="101" t="n">
        <v>-3.3878</v>
      </c>
      <c r="O24" s="102" t="n">
        <v>-0.847</v>
      </c>
      <c r="P24" s="103" t="n">
        <v>0.1</v>
      </c>
      <c r="Q24" s="93" t="inlineStr">
        <is>
          <t>Pocos trades (&lt;10)</t>
        </is>
      </c>
      <c r="R24" s="93" t="inlineStr">
        <is>
          <t>Auto 01:15</t>
        </is>
      </c>
      <c r="T24" s="38" t="inlineStr">
        <is>
          <t>Mejor Capital</t>
        </is>
      </c>
      <c r="U24" s="39">
        <f>MAX(M4:M22)</f>
        <v/>
      </c>
    </row>
    <row r="25">
      <c r="A25" s="76" t="n">
        <v>29</v>
      </c>
      <c r="B25" s="77" t="inlineStr">
        <is>
          <t>2026-03-18</t>
        </is>
      </c>
      <c r="C25" s="78" t="inlineStr">
        <is>
          <t>v4.2</t>
        </is>
      </c>
      <c r="D25" s="79" t="inlineStr">
        <is>
          <t>3. Breakout   (BB+S/R)</t>
        </is>
      </c>
      <c r="E25" s="78" t="inlineStr">
        <is>
          <t>10/50</t>
        </is>
      </c>
      <c r="F25" s="80" t="n">
        <v>12</v>
      </c>
      <c r="G25" s="78" t="inlineStr">
        <is>
          <t>london_ny</t>
        </is>
      </c>
      <c r="H25" s="81" t="n">
        <v>11</v>
      </c>
      <c r="I25" s="120" t="n">
        <v>0.1818</v>
      </c>
      <c r="J25" s="83" t="n">
        <v>-8.239000000000001</v>
      </c>
      <c r="K25" s="84" t="n">
        <v>0.0562</v>
      </c>
      <c r="L25" s="85" t="n">
        <v>0.359</v>
      </c>
      <c r="M25" s="86" t="n">
        <v>141.57</v>
      </c>
      <c r="N25" s="87" t="n">
        <v>-8.4275</v>
      </c>
      <c r="O25" s="88" t="n">
        <v>-0.7661</v>
      </c>
      <c r="P25" s="89" t="n">
        <v>0.2</v>
      </c>
      <c r="Q25" s="79" t="inlineStr">
        <is>
          <t>NEGATIVO</t>
        </is>
      </c>
      <c r="R25" s="79" t="inlineStr">
        <is>
          <t>Auto 01:15</t>
        </is>
      </c>
      <c r="T25" s="38" t="inlineStr">
        <is>
          <t>Mayor P&amp;L</t>
        </is>
      </c>
      <c r="U25" s="39">
        <f>MAX(N4:N22)</f>
        <v/>
      </c>
    </row>
    <row r="26">
      <c r="A26" s="122" t="n">
        <v>30</v>
      </c>
      <c r="B26" s="123" t="inlineStr">
        <is>
          <t>2026-03-18</t>
        </is>
      </c>
      <c r="C26" s="124" t="inlineStr">
        <is>
          <t>v4.2</t>
        </is>
      </c>
      <c r="D26" s="125" t="inlineStr">
        <is>
          <t>4. Momentum   (RSI+MACD+SMA200)</t>
        </is>
      </c>
      <c r="E26" s="124" t="inlineStr">
        <is>
          <t>10/50</t>
        </is>
      </c>
      <c r="F26" s="126" t="n">
        <v>12</v>
      </c>
      <c r="G26" s="124" t="inlineStr">
        <is>
          <t>london_ny</t>
        </is>
      </c>
      <c r="H26" s="127" t="n">
        <v>26</v>
      </c>
      <c r="I26" s="128" t="n">
        <v>0.5</v>
      </c>
      <c r="J26" s="129" t="n">
        <v>2.157</v>
      </c>
      <c r="K26" s="130" t="n">
        <v>0.0204</v>
      </c>
      <c r="L26" s="131" t="n">
        <v>1.328</v>
      </c>
      <c r="M26" s="132" t="n">
        <v>156.53</v>
      </c>
      <c r="N26" s="133" t="n">
        <v>6.5345</v>
      </c>
      <c r="O26" s="134" t="n">
        <v>0.2513</v>
      </c>
      <c r="P26" s="135" t="n">
        <v>0.6</v>
      </c>
      <c r="Q26" s="125" t="inlineStr">
        <is>
          <t>BUENO</t>
        </is>
      </c>
      <c r="R26" s="125" t="inlineStr">
        <is>
          <t>Auto 01:15</t>
        </is>
      </c>
    </row>
    <row r="27">
      <c r="A27" s="136" t="n">
        <v>31</v>
      </c>
      <c r="B27" s="91" t="inlineStr">
        <is>
          <t>2026-03-18</t>
        </is>
      </c>
      <c r="C27" s="92" t="inlineStr">
        <is>
          <t>v4.2</t>
        </is>
      </c>
      <c r="D27" s="93" t="inlineStr">
        <is>
          <t>5. Pullback   (Retroceso EMA)</t>
        </is>
      </c>
      <c r="E27" s="92" t="inlineStr">
        <is>
          <t>10/50</t>
        </is>
      </c>
      <c r="F27" s="94" t="n">
        <v>12</v>
      </c>
      <c r="G27" s="92" t="inlineStr">
        <is>
          <t>london_ny</t>
        </is>
      </c>
      <c r="H27" s="95" t="n">
        <v>4</v>
      </c>
      <c r="I27" s="121" t="n">
        <v>0.75</v>
      </c>
      <c r="J27" s="118" t="n">
        <v>11.575</v>
      </c>
      <c r="K27" s="98" t="n">
        <v>0.01</v>
      </c>
      <c r="L27" s="99" t="n">
        <v>3.95</v>
      </c>
      <c r="M27" s="100" t="n">
        <v>154.53</v>
      </c>
      <c r="N27" s="119" t="n">
        <v>4.5344</v>
      </c>
      <c r="O27" s="102" t="n">
        <v>1.1336</v>
      </c>
      <c r="P27" s="103" t="n">
        <v>0.1</v>
      </c>
      <c r="Q27" s="93" t="inlineStr">
        <is>
          <t>Pocos trades (&lt;10)</t>
        </is>
      </c>
      <c r="R27" s="93" t="inlineStr">
        <is>
          <t>Auto 01:15</t>
        </is>
      </c>
    </row>
    <row r="28">
      <c r="A28" s="122" t="n">
        <v>32</v>
      </c>
      <c r="B28" s="123" t="inlineStr">
        <is>
          <t>2026-03-18</t>
        </is>
      </c>
      <c r="C28" s="124" t="inlineStr">
        <is>
          <t>v4.2</t>
        </is>
      </c>
      <c r="D28" s="125" t="inlineStr">
        <is>
          <t>6. TODAS      (combinadas)</t>
        </is>
      </c>
      <c r="E28" s="124" t="inlineStr">
        <is>
          <t>10/50</t>
        </is>
      </c>
      <c r="F28" s="126" t="n">
        <v>12</v>
      </c>
      <c r="G28" s="124" t="inlineStr">
        <is>
          <t>london_ny</t>
        </is>
      </c>
      <c r="H28" s="127" t="n">
        <v>26</v>
      </c>
      <c r="I28" s="128" t="n">
        <v>0.5</v>
      </c>
      <c r="J28" s="129" t="n">
        <v>2.157</v>
      </c>
      <c r="K28" s="130" t="n">
        <v>0.0204</v>
      </c>
      <c r="L28" s="131" t="n">
        <v>1.328</v>
      </c>
      <c r="M28" s="132" t="n">
        <v>156.53</v>
      </c>
      <c r="N28" s="133" t="n">
        <v>6.5345</v>
      </c>
      <c r="O28" s="134" t="n">
        <v>0.2513</v>
      </c>
      <c r="P28" s="135" t="n">
        <v>0.6</v>
      </c>
      <c r="Q28" s="125" t="inlineStr">
        <is>
          <t>BUENO</t>
        </is>
      </c>
      <c r="R28" s="125" t="inlineStr">
        <is>
          <t>Auto 01:15</t>
        </is>
      </c>
    </row>
    <row r="29" ht="18" customHeight="1" s="140">
      <c r="A29" s="154" t="n">
        <v>26</v>
      </c>
      <c r="B29" s="155" t="inlineStr">
        <is>
          <t>2026-03-18</t>
        </is>
      </c>
      <c r="C29" s="156" t="inlineStr">
        <is>
          <t>v4.2</t>
        </is>
      </c>
      <c r="D29" s="157" t="inlineStr">
        <is>
          <t>1. Reversion  (BB+RSI+Stoch)</t>
        </is>
      </c>
      <c r="E29" s="156" t="inlineStr">
        <is>
          <t>10/50</t>
        </is>
      </c>
      <c r="F29" s="158" t="n">
        <v>12</v>
      </c>
      <c r="G29" s="156" t="inlineStr">
        <is>
          <t>london_ny</t>
        </is>
      </c>
      <c r="H29" s="159" t="n">
        <v>13</v>
      </c>
      <c r="I29" s="160" t="n">
        <v>0.2308</v>
      </c>
      <c r="J29" s="161" t="n">
        <v>-9.568</v>
      </c>
      <c r="K29" s="162" t="n">
        <v>0.1011</v>
      </c>
      <c r="L29" s="163" t="n">
        <v>0.318</v>
      </c>
      <c r="M29" s="164" t="n">
        <v>135.2</v>
      </c>
      <c r="N29" s="165" t="n">
        <v>-14.7971</v>
      </c>
      <c r="O29" s="166" t="n">
        <v>-1.1373</v>
      </c>
      <c r="P29" s="167" t="n">
        <v>0.3</v>
      </c>
      <c r="Q29" s="157" t="inlineStr">
        <is>
          <t>NEGATIVO</t>
        </is>
      </c>
      <c r="R29" s="157" t="inlineStr">
        <is>
          <t>Auto 01:21</t>
        </is>
      </c>
    </row>
    <row r="30" ht="18" customHeight="1" s="140">
      <c r="A30" s="172" t="n">
        <v>27</v>
      </c>
      <c r="B30" s="173" t="inlineStr">
        <is>
          <t>2026-03-18</t>
        </is>
      </c>
      <c r="C30" s="174" t="inlineStr">
        <is>
          <t>v4.2</t>
        </is>
      </c>
      <c r="D30" s="175" t="inlineStr">
        <is>
          <t>2. Cruce EMA  (EMA+MACD+ADX)</t>
        </is>
      </c>
      <c r="E30" s="174" t="inlineStr">
        <is>
          <t>10/50</t>
        </is>
      </c>
      <c r="F30" s="176" t="n">
        <v>12</v>
      </c>
      <c r="G30" s="174" t="inlineStr">
        <is>
          <t>london_ny</t>
        </is>
      </c>
      <c r="H30" s="177" t="n">
        <v>4</v>
      </c>
      <c r="I30" s="178" t="n">
        <v>0.25</v>
      </c>
      <c r="J30" s="179" t="n">
        <v>-12.255</v>
      </c>
      <c r="K30" s="180" t="n">
        <v>0.0443</v>
      </c>
      <c r="L30" s="181" t="n">
        <v>0.237</v>
      </c>
      <c r="M30" s="182" t="n">
        <v>144.92</v>
      </c>
      <c r="N30" s="183" t="n">
        <v>-5.0757</v>
      </c>
      <c r="O30" s="184" t="n">
        <v>-1.2681</v>
      </c>
      <c r="P30" s="185" t="n">
        <v>0.1</v>
      </c>
      <c r="Q30" s="175" t="inlineStr">
        <is>
          <t>Pocos trades (&lt;10)</t>
        </is>
      </c>
      <c r="R30" s="175" t="inlineStr">
        <is>
          <t>Auto 01:21</t>
        </is>
      </c>
    </row>
    <row r="31" ht="18" customHeight="1" s="140">
      <c r="A31" s="154" t="n">
        <v>28</v>
      </c>
      <c r="B31" s="155" t="inlineStr">
        <is>
          <t>2026-03-18</t>
        </is>
      </c>
      <c r="C31" s="156" t="inlineStr">
        <is>
          <t>v4.2</t>
        </is>
      </c>
      <c r="D31" s="157" t="inlineStr">
        <is>
          <t>3. Breakout   (BB+S/R)</t>
        </is>
      </c>
      <c r="E31" s="156" t="inlineStr">
        <is>
          <t>10/50</t>
        </is>
      </c>
      <c r="F31" s="158" t="n">
        <v>12</v>
      </c>
      <c r="G31" s="156" t="inlineStr">
        <is>
          <t>london_ny</t>
        </is>
      </c>
      <c r="H31" s="159" t="n">
        <v>11</v>
      </c>
      <c r="I31" s="160" t="n">
        <v>0.1818</v>
      </c>
      <c r="J31" s="161" t="n">
        <v>-8.319000000000001</v>
      </c>
      <c r="K31" s="162" t="n">
        <v>0.08359999999999999</v>
      </c>
      <c r="L31" s="163" t="n">
        <v>0.356</v>
      </c>
      <c r="M31" s="164" t="n">
        <v>137.46</v>
      </c>
      <c r="N31" s="165" t="n">
        <v>-12.5447</v>
      </c>
      <c r="O31" s="166" t="n">
        <v>-1.1396</v>
      </c>
      <c r="P31" s="167" t="n">
        <v>0.2</v>
      </c>
      <c r="Q31" s="157" t="inlineStr">
        <is>
          <t>NEGATIVO</t>
        </is>
      </c>
      <c r="R31" s="157" t="inlineStr">
        <is>
          <t>Auto 01:21</t>
        </is>
      </c>
    </row>
    <row r="32" ht="18" customHeight="1" s="140">
      <c r="A32" s="186" t="n">
        <v>29</v>
      </c>
      <c r="B32" s="187" t="inlineStr">
        <is>
          <t>2026-03-18</t>
        </is>
      </c>
      <c r="C32" s="188" t="inlineStr">
        <is>
          <t>v4.2</t>
        </is>
      </c>
      <c r="D32" s="189" t="inlineStr">
        <is>
          <t>4. Momentum   (RSI+MACD+SMA200)</t>
        </is>
      </c>
      <c r="E32" s="188" t="inlineStr">
        <is>
          <t>10/50</t>
        </is>
      </c>
      <c r="F32" s="190" t="n">
        <v>12</v>
      </c>
      <c r="G32" s="188" t="inlineStr">
        <is>
          <t>london_ny</t>
        </is>
      </c>
      <c r="H32" s="191" t="n">
        <v>26</v>
      </c>
      <c r="I32" s="192" t="n">
        <v>0.5</v>
      </c>
      <c r="J32" s="193" t="n">
        <v>2.113</v>
      </c>
      <c r="K32" s="194" t="n">
        <v>0.0306</v>
      </c>
      <c r="L32" s="195" t="n">
        <v>1.32</v>
      </c>
      <c r="M32" s="196" t="n">
        <v>159.66</v>
      </c>
      <c r="N32" s="197" t="n">
        <v>9.655099999999999</v>
      </c>
      <c r="O32" s="198" t="n">
        <v>0.3721</v>
      </c>
      <c r="P32" s="199" t="n">
        <v>0.6</v>
      </c>
      <c r="Q32" s="189" t="inlineStr">
        <is>
          <t>BUENO</t>
        </is>
      </c>
      <c r="R32" s="189" t="inlineStr">
        <is>
          <t>Auto 01:21</t>
        </is>
      </c>
    </row>
    <row r="33" ht="18" customHeight="1" s="140">
      <c r="A33" s="172" t="n">
        <v>30</v>
      </c>
      <c r="B33" s="173" t="inlineStr">
        <is>
          <t>2026-03-18</t>
        </is>
      </c>
      <c r="C33" s="174" t="inlineStr">
        <is>
          <t>v4.2</t>
        </is>
      </c>
      <c r="D33" s="175" t="inlineStr">
        <is>
          <t>5. Pullback   (Retroceso EMA)</t>
        </is>
      </c>
      <c r="E33" s="174" t="inlineStr">
        <is>
          <t>10/50</t>
        </is>
      </c>
      <c r="F33" s="176" t="n">
        <v>12</v>
      </c>
      <c r="G33" s="174" t="inlineStr">
        <is>
          <t>london_ny</t>
        </is>
      </c>
      <c r="H33" s="177" t="n">
        <v>4</v>
      </c>
      <c r="I33" s="178" t="n">
        <v>0.75</v>
      </c>
      <c r="J33" s="200" t="n">
        <v>11.505</v>
      </c>
      <c r="K33" s="180" t="n">
        <v>0.015</v>
      </c>
      <c r="L33" s="181" t="n">
        <v>3.92</v>
      </c>
      <c r="M33" s="182" t="n">
        <v>156.81</v>
      </c>
      <c r="N33" s="201" t="n">
        <v>6.8122</v>
      </c>
      <c r="O33" s="184" t="n">
        <v>1.7039</v>
      </c>
      <c r="P33" s="185" t="n">
        <v>0.1</v>
      </c>
      <c r="Q33" s="175" t="inlineStr">
        <is>
          <t>Pocos trades (&lt;10)</t>
        </is>
      </c>
      <c r="R33" s="175" t="inlineStr">
        <is>
          <t>Auto 01:21</t>
        </is>
      </c>
    </row>
    <row r="34" ht="18" customHeight="1" s="140">
      <c r="A34" s="186" t="n">
        <v>31</v>
      </c>
      <c r="B34" s="187" t="inlineStr">
        <is>
          <t>2026-03-18</t>
        </is>
      </c>
      <c r="C34" s="188" t="inlineStr">
        <is>
          <t>v4.2</t>
        </is>
      </c>
      <c r="D34" s="189" t="inlineStr">
        <is>
          <t>6. TODAS      (combinadas)</t>
        </is>
      </c>
      <c r="E34" s="188" t="inlineStr">
        <is>
          <t>10/50</t>
        </is>
      </c>
      <c r="F34" s="190" t="n">
        <v>12</v>
      </c>
      <c r="G34" s="188" t="inlineStr">
        <is>
          <t>london_ny</t>
        </is>
      </c>
      <c r="H34" s="191" t="n">
        <v>26</v>
      </c>
      <c r="I34" s="192" t="n">
        <v>0.5</v>
      </c>
      <c r="J34" s="193" t="n">
        <v>2.113</v>
      </c>
      <c r="K34" s="194" t="n">
        <v>0.0306</v>
      </c>
      <c r="L34" s="195" t="n">
        <v>1.32</v>
      </c>
      <c r="M34" s="196" t="n">
        <v>159.66</v>
      </c>
      <c r="N34" s="197" t="n">
        <v>9.655099999999999</v>
      </c>
      <c r="O34" s="198" t="n">
        <v>0.3721</v>
      </c>
      <c r="P34" s="199" t="n">
        <v>0.6</v>
      </c>
      <c r="Q34" s="189" t="inlineStr">
        <is>
          <t>BUENO</t>
        </is>
      </c>
      <c r="R34" s="189" t="inlineStr">
        <is>
          <t>Auto 01:21</t>
        </is>
      </c>
    </row>
    <row r="35" ht="18" customHeight="1" s="140">
      <c r="A35" s="154" t="n">
        <v>32</v>
      </c>
      <c r="B35" s="155" t="inlineStr">
        <is>
          <t>2026-03-18</t>
        </is>
      </c>
      <c r="C35" s="156" t="inlineStr">
        <is>
          <t>v5.3</t>
        </is>
      </c>
      <c r="D35" s="157" t="inlineStr">
        <is>
          <t>1. Reversion  (BB+RSI+Stoch)</t>
        </is>
      </c>
      <c r="E35" s="156" t="inlineStr">
        <is>
          <t>10/50</t>
        </is>
      </c>
      <c r="F35" s="158" t="n">
        <v>12</v>
      </c>
      <c r="G35" s="156" t="inlineStr">
        <is>
          <t>london_ny</t>
        </is>
      </c>
      <c r="H35" s="159" t="n">
        <v>13</v>
      </c>
      <c r="I35" s="160" t="n">
        <v>0.2308</v>
      </c>
      <c r="J35" s="161" t="n">
        <v>-11.517</v>
      </c>
      <c r="K35" s="162" t="n">
        <v>0.1066</v>
      </c>
      <c r="L35" s="163" t="n">
        <v>0.258</v>
      </c>
      <c r="M35" s="164" t="n">
        <v>134</v>
      </c>
      <c r="N35" s="165" t="n">
        <v>-15.9959</v>
      </c>
      <c r="O35" s="166" t="n">
        <v>-1.2296</v>
      </c>
      <c r="P35" s="167" t="n">
        <v>0.3</v>
      </c>
      <c r="Q35" s="157" t="inlineStr">
        <is>
          <t>NEGATIVO</t>
        </is>
      </c>
      <c r="R35" s="157" t="inlineStr">
        <is>
          <t>Auto v5.3 17:53</t>
        </is>
      </c>
    </row>
    <row r="36" ht="18" customHeight="1" s="140">
      <c r="A36" s="172" t="n">
        <v>33</v>
      </c>
      <c r="B36" s="173" t="inlineStr">
        <is>
          <t>2026-03-18</t>
        </is>
      </c>
      <c r="C36" s="174" t="inlineStr">
        <is>
          <t>v5.3</t>
        </is>
      </c>
      <c r="D36" s="175" t="inlineStr">
        <is>
          <t>2. Cruce EMA  (EMA+MACD+ADX)</t>
        </is>
      </c>
      <c r="E36" s="174" t="inlineStr">
        <is>
          <t>10/50</t>
        </is>
      </c>
      <c r="F36" s="176" t="n">
        <v>12</v>
      </c>
      <c r="G36" s="174" t="inlineStr">
        <is>
          <t>london_ny</t>
        </is>
      </c>
      <c r="H36" s="177" t="n">
        <v>4</v>
      </c>
      <c r="I36" s="178" t="n">
        <v>0.25</v>
      </c>
      <c r="J36" s="179" t="n">
        <v>-12.255</v>
      </c>
      <c r="K36" s="180" t="n">
        <v>0.0443</v>
      </c>
      <c r="L36" s="181" t="n">
        <v>0.237</v>
      </c>
      <c r="M36" s="182" t="n">
        <v>144.92</v>
      </c>
      <c r="N36" s="183" t="n">
        <v>-5.0757</v>
      </c>
      <c r="O36" s="184" t="n">
        <v>-1.2681</v>
      </c>
      <c r="P36" s="185" t="n">
        <v>0.1</v>
      </c>
      <c r="Q36" s="175" t="inlineStr">
        <is>
          <t>Pocos trades (&lt;10)</t>
        </is>
      </c>
      <c r="R36" s="175" t="inlineStr">
        <is>
          <t>Auto v5.3 17:53</t>
        </is>
      </c>
    </row>
    <row r="37" ht="18" customHeight="1" s="140">
      <c r="A37" s="154" t="n">
        <v>34</v>
      </c>
      <c r="B37" s="155" t="inlineStr">
        <is>
          <t>2026-03-18</t>
        </is>
      </c>
      <c r="C37" s="156" t="inlineStr">
        <is>
          <t>v5.3</t>
        </is>
      </c>
      <c r="D37" s="157" t="inlineStr">
        <is>
          <t>3. Breakout   (BB+S/R)</t>
        </is>
      </c>
      <c r="E37" s="156" t="inlineStr">
        <is>
          <t>10/50</t>
        </is>
      </c>
      <c r="F37" s="158" t="n">
        <v>12</v>
      </c>
      <c r="G37" s="156" t="inlineStr">
        <is>
          <t>london_ny</t>
        </is>
      </c>
      <c r="H37" s="159" t="n">
        <v>11</v>
      </c>
      <c r="I37" s="160" t="n">
        <v>0.1818</v>
      </c>
      <c r="J37" s="161" t="n">
        <v>-9.819000000000001</v>
      </c>
      <c r="K37" s="162" t="n">
        <v>0.08990000000000001</v>
      </c>
      <c r="L37" s="163" t="n">
        <v>0.306</v>
      </c>
      <c r="M37" s="164" t="n">
        <v>136.52</v>
      </c>
      <c r="N37" s="165" t="n">
        <v>-13.4822</v>
      </c>
      <c r="O37" s="166" t="n">
        <v>-1.2249</v>
      </c>
      <c r="P37" s="167" t="n">
        <v>0.2</v>
      </c>
      <c r="Q37" s="157" t="inlineStr">
        <is>
          <t>NEGATIVO</t>
        </is>
      </c>
      <c r="R37" s="157" t="inlineStr">
        <is>
          <t>Auto v5.3 17:53</t>
        </is>
      </c>
    </row>
    <row r="38" ht="18" customHeight="1" s="140">
      <c r="A38" s="202" t="n">
        <v>35</v>
      </c>
      <c r="B38" s="203" t="inlineStr">
        <is>
          <t>2026-03-18</t>
        </is>
      </c>
      <c r="C38" s="204" t="inlineStr">
        <is>
          <t>v5.3</t>
        </is>
      </c>
      <c r="D38" s="205" t="inlineStr">
        <is>
          <t>4. Momentum   (RSI+MACD+SMA200)</t>
        </is>
      </c>
      <c r="E38" s="204" t="inlineStr">
        <is>
          <t>10/50</t>
        </is>
      </c>
      <c r="F38" s="206" t="n">
        <v>12</v>
      </c>
      <c r="G38" s="204" t="inlineStr">
        <is>
          <t>london_ny</t>
        </is>
      </c>
      <c r="H38" s="207" t="n">
        <v>21</v>
      </c>
      <c r="I38" s="208" t="n">
        <v>0.619</v>
      </c>
      <c r="J38" s="209" t="n">
        <v>5.864</v>
      </c>
      <c r="K38" s="210" t="n">
        <v>0.0298</v>
      </c>
      <c r="L38" s="211" t="n">
        <v>2.179</v>
      </c>
      <c r="M38" s="212" t="n">
        <v>173.07</v>
      </c>
      <c r="N38" s="213" t="n">
        <v>23.0717</v>
      </c>
      <c r="O38" s="214" t="n">
        <v>1.0994</v>
      </c>
      <c r="P38" s="215" t="n">
        <v>0.5</v>
      </c>
      <c r="Q38" s="205" t="inlineStr">
        <is>
          <t>EXCELENTE</t>
        </is>
      </c>
      <c r="R38" s="205" t="inlineStr">
        <is>
          <t>Auto v5.3 17:53</t>
        </is>
      </c>
    </row>
    <row r="39" ht="18" customHeight="1" s="140">
      <c r="A39" s="172" t="n">
        <v>36</v>
      </c>
      <c r="B39" s="173" t="inlineStr">
        <is>
          <t>2026-03-18</t>
        </is>
      </c>
      <c r="C39" s="174" t="inlineStr">
        <is>
          <t>v5.3</t>
        </is>
      </c>
      <c r="D39" s="175" t="inlineStr">
        <is>
          <t>5. Pullback   (Retroceso EMA)</t>
        </is>
      </c>
      <c r="E39" s="174" t="inlineStr">
        <is>
          <t>10/50</t>
        </is>
      </c>
      <c r="F39" s="176" t="n">
        <v>12</v>
      </c>
      <c r="G39" s="174" t="inlineStr">
        <is>
          <t>london_ny</t>
        </is>
      </c>
      <c r="H39" s="177" t="n">
        <v>4</v>
      </c>
      <c r="I39" s="178" t="n">
        <v>0.75</v>
      </c>
      <c r="J39" s="200" t="n">
        <v>11.708</v>
      </c>
      <c r="K39" s="180" t="n">
        <v>0.015</v>
      </c>
      <c r="L39" s="181" t="n">
        <v>3.987</v>
      </c>
      <c r="M39" s="182" t="n">
        <v>157</v>
      </c>
      <c r="N39" s="201" t="n">
        <v>7.0009</v>
      </c>
      <c r="O39" s="184" t="n">
        <v>1.7511</v>
      </c>
      <c r="P39" s="185" t="n">
        <v>0.1</v>
      </c>
      <c r="Q39" s="175" t="inlineStr">
        <is>
          <t>Pocos trades (&lt;10)</t>
        </is>
      </c>
      <c r="R39" s="175" t="inlineStr">
        <is>
          <t>Auto v5.3 17:53</t>
        </is>
      </c>
    </row>
    <row r="40" ht="18" customHeight="1" s="140">
      <c r="A40" s="202" t="n">
        <v>37</v>
      </c>
      <c r="B40" s="203" t="inlineStr">
        <is>
          <t>2026-03-18</t>
        </is>
      </c>
      <c r="C40" s="204" t="inlineStr">
        <is>
          <t>v5.3</t>
        </is>
      </c>
      <c r="D40" s="205" t="inlineStr">
        <is>
          <t>6. TODAS      (combinadas)</t>
        </is>
      </c>
      <c r="E40" s="204" t="inlineStr">
        <is>
          <t>10/50</t>
        </is>
      </c>
      <c r="F40" s="206" t="n">
        <v>12</v>
      </c>
      <c r="G40" s="204" t="inlineStr">
        <is>
          <t>london_ny</t>
        </is>
      </c>
      <c r="H40" s="207" t="n">
        <v>21</v>
      </c>
      <c r="I40" s="208" t="n">
        <v>0.619</v>
      </c>
      <c r="J40" s="209" t="n">
        <v>5.864</v>
      </c>
      <c r="K40" s="210" t="n">
        <v>0.0298</v>
      </c>
      <c r="L40" s="211" t="n">
        <v>2.179</v>
      </c>
      <c r="M40" s="212" t="n">
        <v>173.07</v>
      </c>
      <c r="N40" s="213" t="n">
        <v>23.0717</v>
      </c>
      <c r="O40" s="214" t="n">
        <v>1.0994</v>
      </c>
      <c r="P40" s="215" t="n">
        <v>0.5</v>
      </c>
      <c r="Q40" s="205" t="inlineStr">
        <is>
          <t>EXCELENTE</t>
        </is>
      </c>
      <c r="R40" s="205" t="inlineStr">
        <is>
          <t>Auto v5.3 17:53</t>
        </is>
      </c>
    </row>
    <row r="41" ht="18" customHeight="1" s="140">
      <c r="A41" s="154" t="n">
        <v>20</v>
      </c>
      <c r="B41" s="155" t="inlineStr">
        <is>
          <t>2026-03-18</t>
        </is>
      </c>
      <c r="C41" s="156" t="inlineStr">
        <is>
          <t>v5.3</t>
        </is>
      </c>
      <c r="D41" s="157" t="inlineStr">
        <is>
          <t>1. Reversion BB+RSI+Stoch</t>
        </is>
      </c>
      <c r="E41" s="156" t="inlineStr">
        <is>
          <t>10/50</t>
        </is>
      </c>
      <c r="F41" s="158" t="n">
        <v>12</v>
      </c>
      <c r="G41" s="156" t="inlineStr">
        <is>
          <t>london_ny</t>
        </is>
      </c>
      <c r="H41" s="159" t="n">
        <v>13</v>
      </c>
      <c r="I41" s="216" t="n">
        <v>0.2308</v>
      </c>
      <c r="J41" s="161" t="n">
        <v>-11.52</v>
      </c>
      <c r="K41" s="162" t="n">
        <v>0.107</v>
      </c>
      <c r="L41" s="163" t="n">
        <v>0.26</v>
      </c>
      <c r="M41" s="164" t="n">
        <v>134</v>
      </c>
      <c r="N41" s="165" t="n">
        <v>-16</v>
      </c>
      <c r="O41" s="166" t="n">
        <v>-1.231</v>
      </c>
      <c r="P41" s="167" t="n">
        <v>0.3</v>
      </c>
      <c r="Q41" s="157" t="inlineStr">
        <is>
          <t>NEGATIVO</t>
        </is>
      </c>
      <c r="R41" s="157" t="inlineStr">
        <is>
          <t>Spread incluido — WR 23%</t>
        </is>
      </c>
    </row>
    <row r="42" ht="18" customHeight="1" s="140">
      <c r="A42" s="172" t="n">
        <v>21</v>
      </c>
      <c r="B42" s="173" t="inlineStr">
        <is>
          <t>2026-03-18</t>
        </is>
      </c>
      <c r="C42" s="174" t="inlineStr">
        <is>
          <t>v5.3</t>
        </is>
      </c>
      <c r="D42" s="175" t="inlineStr">
        <is>
          <t>2. Cruce EMA+MACD+ADX</t>
        </is>
      </c>
      <c r="E42" s="174" t="inlineStr">
        <is>
          <t>10/50</t>
        </is>
      </c>
      <c r="F42" s="176" t="n">
        <v>12</v>
      </c>
      <c r="G42" s="174" t="inlineStr">
        <is>
          <t>london_ny</t>
        </is>
      </c>
      <c r="H42" s="177" t="n">
        <v>4</v>
      </c>
      <c r="I42" s="217" t="n">
        <v>0.25</v>
      </c>
      <c r="J42" s="179" t="n">
        <v>-12.26</v>
      </c>
      <c r="K42" s="180" t="n">
        <v>0.044</v>
      </c>
      <c r="L42" s="181" t="n">
        <v>0</v>
      </c>
      <c r="M42" s="182" t="n">
        <v>144.92</v>
      </c>
      <c r="N42" s="183" t="n">
        <v>-5.08</v>
      </c>
      <c r="O42" s="184" t="n">
        <v>-1.27</v>
      </c>
      <c r="P42" s="185" t="n">
        <v>0.1</v>
      </c>
      <c r="Q42" s="175" t="inlineStr">
        <is>
          <t>Pocos trades (&lt;10)</t>
        </is>
      </c>
      <c r="R42" s="175" t="inlineStr">
        <is>
          <t>4 trades sin validez</t>
        </is>
      </c>
    </row>
    <row r="43" ht="18" customHeight="1" s="140">
      <c r="A43" s="154" t="n">
        <v>22</v>
      </c>
      <c r="B43" s="155" t="inlineStr">
        <is>
          <t>2026-03-18</t>
        </is>
      </c>
      <c r="C43" s="156" t="inlineStr">
        <is>
          <t>v5.3</t>
        </is>
      </c>
      <c r="D43" s="157" t="inlineStr">
        <is>
          <t>3. Breakout BB+S/R</t>
        </is>
      </c>
      <c r="E43" s="156" t="inlineStr">
        <is>
          <t>10/50</t>
        </is>
      </c>
      <c r="F43" s="158" t="n">
        <v>12</v>
      </c>
      <c r="G43" s="156" t="inlineStr">
        <is>
          <t>london_ny</t>
        </is>
      </c>
      <c r="H43" s="159" t="n">
        <v>11</v>
      </c>
      <c r="I43" s="216" t="n">
        <v>0.1818</v>
      </c>
      <c r="J43" s="161" t="n">
        <v>-9.82</v>
      </c>
      <c r="K43" s="162" t="n">
        <v>0.09</v>
      </c>
      <c r="L43" s="163" t="n">
        <v>0.25</v>
      </c>
      <c r="M43" s="164" t="n">
        <v>136.52</v>
      </c>
      <c r="N43" s="165" t="n">
        <v>-13.48</v>
      </c>
      <c r="O43" s="166" t="n">
        <v>-1.225</v>
      </c>
      <c r="P43" s="167" t="n">
        <v>0.3</v>
      </c>
      <c r="Q43" s="157" t="inlineStr">
        <is>
          <t>NEGATIVO</t>
        </is>
      </c>
      <c r="R43" s="157" t="inlineStr">
        <is>
          <t>WR 18% — muy bajo</t>
        </is>
      </c>
    </row>
    <row r="44" ht="18" customHeight="1" s="140">
      <c r="A44" s="202" t="n">
        <v>23</v>
      </c>
      <c r="B44" s="203" t="inlineStr">
        <is>
          <t>2026-03-18</t>
        </is>
      </c>
      <c r="C44" s="204" t="inlineStr">
        <is>
          <t>v5.3</t>
        </is>
      </c>
      <c r="D44" s="205" t="inlineStr">
        <is>
          <t>4. Momentum RSI+MACD+SMA200  ★</t>
        </is>
      </c>
      <c r="E44" s="204" t="inlineStr">
        <is>
          <t>10/50</t>
        </is>
      </c>
      <c r="F44" s="206" t="n">
        <v>12</v>
      </c>
      <c r="G44" s="204" t="inlineStr">
        <is>
          <t>london_ny</t>
        </is>
      </c>
      <c r="H44" s="207" t="n">
        <v>21</v>
      </c>
      <c r="I44" s="218" t="n">
        <v>0.619</v>
      </c>
      <c r="J44" s="209" t="n">
        <v>5.86</v>
      </c>
      <c r="K44" s="210" t="n">
        <v>0.03</v>
      </c>
      <c r="L44" s="211" t="n">
        <v>2.18</v>
      </c>
      <c r="M44" s="212" t="n">
        <v>173.07</v>
      </c>
      <c r="N44" s="213" t="n">
        <v>23.07</v>
      </c>
      <c r="O44" s="214" t="n">
        <v>1.099</v>
      </c>
      <c r="P44" s="215" t="n">
        <v>0.5</v>
      </c>
      <c r="Q44" s="205" t="inlineStr">
        <is>
          <t>EXCELENTE</t>
        </is>
      </c>
      <c r="R44" s="205" t="inlineStr">
        <is>
          <t>MEJOR — Sharpe 5.86 Sortino 116.99 +$23.07</t>
        </is>
      </c>
    </row>
    <row r="45" ht="18" customHeight="1" s="140">
      <c r="A45" s="172" t="n">
        <v>24</v>
      </c>
      <c r="B45" s="173" t="inlineStr">
        <is>
          <t>2026-03-18</t>
        </is>
      </c>
      <c r="C45" s="174" t="inlineStr">
        <is>
          <t>v5.3</t>
        </is>
      </c>
      <c r="D45" s="175" t="inlineStr">
        <is>
          <t>5. Pullback Retroceso EMA</t>
        </is>
      </c>
      <c r="E45" s="174" t="inlineStr">
        <is>
          <t>10/50</t>
        </is>
      </c>
      <c r="F45" s="176" t="n">
        <v>12</v>
      </c>
      <c r="G45" s="174" t="inlineStr">
        <is>
          <t>london_ny</t>
        </is>
      </c>
      <c r="H45" s="177" t="n">
        <v>4</v>
      </c>
      <c r="I45" s="217" t="n">
        <v>0.75</v>
      </c>
      <c r="J45" s="200" t="n">
        <v>11.71</v>
      </c>
      <c r="K45" s="180" t="n">
        <v>0.015</v>
      </c>
      <c r="L45" s="181" t="n">
        <v>3.99</v>
      </c>
      <c r="M45" s="182" t="n">
        <v>157</v>
      </c>
      <c r="N45" s="201" t="n">
        <v>7</v>
      </c>
      <c r="O45" s="184" t="n">
        <v>1.75</v>
      </c>
      <c r="P45" s="185" t="n">
        <v>0.1</v>
      </c>
      <c r="Q45" s="175" t="inlineStr">
        <is>
          <t>Pocos trades (&lt;10)</t>
        </is>
      </c>
      <c r="R45" s="175" t="inlineStr">
        <is>
          <t>4 trades — no estadístico</t>
        </is>
      </c>
    </row>
    <row r="46" ht="18" customHeight="1" s="140">
      <c r="A46" s="202" t="n">
        <v>25</v>
      </c>
      <c r="B46" s="203" t="inlineStr">
        <is>
          <t>2026-03-18</t>
        </is>
      </c>
      <c r="C46" s="204" t="inlineStr">
        <is>
          <t>v5.3</t>
        </is>
      </c>
      <c r="D46" s="205" t="inlineStr">
        <is>
          <t>6. TODAS combinadas</t>
        </is>
      </c>
      <c r="E46" s="204" t="inlineStr">
        <is>
          <t>10/50</t>
        </is>
      </c>
      <c r="F46" s="206" t="n">
        <v>12</v>
      </c>
      <c r="G46" s="204" t="inlineStr">
        <is>
          <t>london_ny</t>
        </is>
      </c>
      <c r="H46" s="207" t="n">
        <v>21</v>
      </c>
      <c r="I46" s="218" t="n">
        <v>0.619</v>
      </c>
      <c r="J46" s="209" t="n">
        <v>5.86</v>
      </c>
      <c r="K46" s="210" t="n">
        <v>0.03</v>
      </c>
      <c r="L46" s="211" t="n">
        <v>2.18</v>
      </c>
      <c r="M46" s="212" t="n">
        <v>173.07</v>
      </c>
      <c r="N46" s="213" t="n">
        <v>23.07</v>
      </c>
      <c r="O46" s="214" t="n">
        <v>1.099</v>
      </c>
      <c r="P46" s="215" t="n">
        <v>0.5</v>
      </c>
      <c r="Q46" s="205" t="inlineStr">
        <is>
          <t>EXCELENTE</t>
        </is>
      </c>
      <c r="R46" s="205" t="inlineStr">
        <is>
          <t>MC real 0.03% ruina — WF 5/10 ventanas positivas</t>
        </is>
      </c>
    </row>
    <row r="47" ht="18" customHeight="1" s="140">
      <c r="A47" s="154" t="n">
        <v>26</v>
      </c>
      <c r="B47" s="155" t="inlineStr">
        <is>
          <t>2026-03-18</t>
        </is>
      </c>
      <c r="C47" s="156" t="inlineStr">
        <is>
          <t>v5.3</t>
        </is>
      </c>
      <c r="D47" s="157" t="inlineStr">
        <is>
          <t>1.Reversion BB+RSI+Stoch</t>
        </is>
      </c>
      <c r="E47" s="156" t="inlineStr">
        <is>
          <t>10/50</t>
        </is>
      </c>
      <c r="F47" s="158" t="n">
        <v>12</v>
      </c>
      <c r="G47" s="156" t="inlineStr">
        <is>
          <t>london_ny</t>
        </is>
      </c>
      <c r="H47" s="159" t="n">
        <v>13</v>
      </c>
      <c r="I47" s="216" t="n">
        <v>0.2308</v>
      </c>
      <c r="J47" s="161" t="n">
        <v>-11.52</v>
      </c>
      <c r="K47" s="162" t="n">
        <v>0.107</v>
      </c>
      <c r="L47" s="163" t="n">
        <v>0.26</v>
      </c>
      <c r="M47" s="164" t="n">
        <v>134</v>
      </c>
      <c r="N47" s="165" t="n">
        <v>-16</v>
      </c>
      <c r="O47" s="166" t="n">
        <v>-1.231</v>
      </c>
      <c r="P47" s="167" t="n">
        <v>0.3</v>
      </c>
      <c r="Q47" s="157" t="inlineStr">
        <is>
          <t>NEGATIVO</t>
        </is>
      </c>
      <c r="R47" s="157" t="inlineStr">
        <is>
          <t>v5.3 spread + Sortino -278</t>
        </is>
      </c>
    </row>
    <row r="48" ht="18" customHeight="1" s="140">
      <c r="A48" s="172" t="n">
        <v>27</v>
      </c>
      <c r="B48" s="173" t="inlineStr">
        <is>
          <t>2026-03-18</t>
        </is>
      </c>
      <c r="C48" s="174" t="inlineStr">
        <is>
          <t>v5.3</t>
        </is>
      </c>
      <c r="D48" s="175" t="inlineStr">
        <is>
          <t>2.Cruce EMA+MACD+ADX</t>
        </is>
      </c>
      <c r="E48" s="174" t="inlineStr">
        <is>
          <t>10/50</t>
        </is>
      </c>
      <c r="F48" s="176" t="n">
        <v>12</v>
      </c>
      <c r="G48" s="174" t="inlineStr">
        <is>
          <t>london_ny</t>
        </is>
      </c>
      <c r="H48" s="177" t="n">
        <v>4</v>
      </c>
      <c r="I48" s="217" t="n">
        <v>0.25</v>
      </c>
      <c r="J48" s="179" t="n">
        <v>-12.26</v>
      </c>
      <c r="K48" s="180" t="n">
        <v>0.044</v>
      </c>
      <c r="L48" s="181" t="n">
        <v>0</v>
      </c>
      <c r="M48" s="182" t="n">
        <v>144.92</v>
      </c>
      <c r="N48" s="183" t="n">
        <v>-5.08</v>
      </c>
      <c r="O48" s="184" t="n">
        <v>-1.27</v>
      </c>
      <c r="P48" s="185" t="n">
        <v>0.1</v>
      </c>
      <c r="Q48" s="175" t="inlineStr">
        <is>
          <t>Pocos trades (&lt;10)</t>
        </is>
      </c>
      <c r="R48" s="175" t="inlineStr">
        <is>
          <t>4 trades</t>
        </is>
      </c>
    </row>
    <row r="49" ht="18" customHeight="1" s="140">
      <c r="A49" s="154" t="n">
        <v>28</v>
      </c>
      <c r="B49" s="155" t="inlineStr">
        <is>
          <t>2026-03-18</t>
        </is>
      </c>
      <c r="C49" s="156" t="inlineStr">
        <is>
          <t>v5.3</t>
        </is>
      </c>
      <c r="D49" s="157" t="inlineStr">
        <is>
          <t>3.Breakout BB+S/R</t>
        </is>
      </c>
      <c r="E49" s="156" t="inlineStr">
        <is>
          <t>10/50</t>
        </is>
      </c>
      <c r="F49" s="158" t="n">
        <v>12</v>
      </c>
      <c r="G49" s="156" t="inlineStr">
        <is>
          <t>london_ny</t>
        </is>
      </c>
      <c r="H49" s="159" t="n">
        <v>11</v>
      </c>
      <c r="I49" s="216" t="n">
        <v>0.1818</v>
      </c>
      <c r="J49" s="161" t="n">
        <v>-9.82</v>
      </c>
      <c r="K49" s="162" t="n">
        <v>0.09</v>
      </c>
      <c r="L49" s="163" t="n">
        <v>0.25</v>
      </c>
      <c r="M49" s="164" t="n">
        <v>136.52</v>
      </c>
      <c r="N49" s="165" t="n">
        <v>-13.48</v>
      </c>
      <c r="O49" s="166" t="n">
        <v>-1.225</v>
      </c>
      <c r="P49" s="167" t="n">
        <v>0.3</v>
      </c>
      <c r="Q49" s="157" t="inlineStr">
        <is>
          <t>NEGATIVO</t>
        </is>
      </c>
      <c r="R49" s="157" t="inlineStr">
        <is>
          <t>WR 18%</t>
        </is>
      </c>
    </row>
    <row r="50" ht="18" customHeight="1" s="140">
      <c r="A50" s="202" t="n">
        <v>29</v>
      </c>
      <c r="B50" s="203" t="inlineStr">
        <is>
          <t>2026-03-18</t>
        </is>
      </c>
      <c r="C50" s="204" t="inlineStr">
        <is>
          <t>v5.3</t>
        </is>
      </c>
      <c r="D50" s="205" t="inlineStr">
        <is>
          <t>4.Momentum MEJOR</t>
        </is>
      </c>
      <c r="E50" s="204" t="inlineStr">
        <is>
          <t>10/50</t>
        </is>
      </c>
      <c r="F50" s="206" t="n">
        <v>12</v>
      </c>
      <c r="G50" s="204" t="inlineStr">
        <is>
          <t>london_ny</t>
        </is>
      </c>
      <c r="H50" s="207" t="n">
        <v>21</v>
      </c>
      <c r="I50" s="218" t="n">
        <v>0.619</v>
      </c>
      <c r="J50" s="209" t="n">
        <v>5.86</v>
      </c>
      <c r="K50" s="210" t="n">
        <v>0.03</v>
      </c>
      <c r="L50" s="211" t="n">
        <v>2.18</v>
      </c>
      <c r="M50" s="212" t="n">
        <v>173.07</v>
      </c>
      <c r="N50" s="213" t="n">
        <v>23.07</v>
      </c>
      <c r="O50" s="214" t="n">
        <v>1.099</v>
      </c>
      <c r="P50" s="215" t="n">
        <v>0.5</v>
      </c>
      <c r="Q50" s="205" t="inlineStr">
        <is>
          <t>EXCELENTE</t>
        </is>
      </c>
      <c r="R50" s="205" t="inlineStr">
        <is>
          <t>Sharpe 5.86 Sortino 116.99 ruina MC 0.03%</t>
        </is>
      </c>
    </row>
    <row r="51" ht="18" customHeight="1" s="140">
      <c r="A51" s="172" t="n">
        <v>30</v>
      </c>
      <c r="B51" s="173" t="inlineStr">
        <is>
          <t>2026-03-18</t>
        </is>
      </c>
      <c r="C51" s="174" t="inlineStr">
        <is>
          <t>v5.3</t>
        </is>
      </c>
      <c r="D51" s="175" t="inlineStr">
        <is>
          <t>5.Pullback</t>
        </is>
      </c>
      <c r="E51" s="174" t="inlineStr">
        <is>
          <t>10/50</t>
        </is>
      </c>
      <c r="F51" s="176" t="n">
        <v>12</v>
      </c>
      <c r="G51" s="174" t="inlineStr">
        <is>
          <t>london_ny</t>
        </is>
      </c>
      <c r="H51" s="177" t="n">
        <v>4</v>
      </c>
      <c r="I51" s="217" t="n">
        <v>0.75</v>
      </c>
      <c r="J51" s="200" t="n">
        <v>11.71</v>
      </c>
      <c r="K51" s="180" t="n">
        <v>0.015</v>
      </c>
      <c r="L51" s="181" t="n">
        <v>3.99</v>
      </c>
      <c r="M51" s="182" t="n">
        <v>157</v>
      </c>
      <c r="N51" s="201" t="n">
        <v>7</v>
      </c>
      <c r="O51" s="184" t="n">
        <v>1.75</v>
      </c>
      <c r="P51" s="185" t="n">
        <v>0.1</v>
      </c>
      <c r="Q51" s="175" t="inlineStr">
        <is>
          <t>Pocos trades (&lt;10)</t>
        </is>
      </c>
      <c r="R51" s="175" t="inlineStr">
        <is>
          <t>4 trades no estadistico</t>
        </is>
      </c>
    </row>
    <row r="52" ht="18" customHeight="1" s="140">
      <c r="A52" s="202" t="n">
        <v>31</v>
      </c>
      <c r="B52" s="203" t="inlineStr">
        <is>
          <t>2026-03-18</t>
        </is>
      </c>
      <c r="C52" s="204" t="inlineStr">
        <is>
          <t>v5.3</t>
        </is>
      </c>
      <c r="D52" s="205" t="inlineStr">
        <is>
          <t>6.TODAS combinadas</t>
        </is>
      </c>
      <c r="E52" s="204" t="inlineStr">
        <is>
          <t>10/50</t>
        </is>
      </c>
      <c r="F52" s="206" t="n">
        <v>12</v>
      </c>
      <c r="G52" s="204" t="inlineStr">
        <is>
          <t>london_ny</t>
        </is>
      </c>
      <c r="H52" s="207" t="n">
        <v>21</v>
      </c>
      <c r="I52" s="218" t="n">
        <v>0.619</v>
      </c>
      <c r="J52" s="209" t="n">
        <v>5.86</v>
      </c>
      <c r="K52" s="210" t="n">
        <v>0.03</v>
      </c>
      <c r="L52" s="211" t="n">
        <v>2.18</v>
      </c>
      <c r="M52" s="212" t="n">
        <v>173.07</v>
      </c>
      <c r="N52" s="213" t="n">
        <v>23.07</v>
      </c>
      <c r="O52" s="214" t="n">
        <v>1.099</v>
      </c>
      <c r="P52" s="215" t="n">
        <v>0.5</v>
      </c>
      <c r="Q52" s="205" t="inlineStr">
        <is>
          <t>EXCELENTE</t>
        </is>
      </c>
      <c r="R52" s="205" t="inlineStr">
        <is>
          <t>WF 5/10 positivas V10 Sharpe 6.38 +$16.54</t>
        </is>
      </c>
    </row>
    <row r="53" ht="18" customHeight="1" s="140">
      <c r="A53" s="154" t="n">
        <v>50</v>
      </c>
      <c r="B53" s="155" t="inlineStr">
        <is>
          <t>2026-03-18</t>
        </is>
      </c>
      <c r="C53" s="156" t="inlineStr">
        <is>
          <t>v5.3</t>
        </is>
      </c>
      <c r="D53" s="157" t="inlineStr">
        <is>
          <t>1. Reversion  (BB+RSI+Stoch)</t>
        </is>
      </c>
      <c r="E53" s="156" t="inlineStr">
        <is>
          <t>10/50</t>
        </is>
      </c>
      <c r="F53" s="158" t="n">
        <v>12</v>
      </c>
      <c r="G53" s="156" t="inlineStr">
        <is>
          <t>london_ny</t>
        </is>
      </c>
      <c r="H53" s="159" t="n">
        <v>13</v>
      </c>
      <c r="I53" s="160" t="n">
        <v>0.2308</v>
      </c>
      <c r="J53" s="161" t="n">
        <v>-11.517</v>
      </c>
      <c r="K53" s="162" t="n">
        <v>0.1066</v>
      </c>
      <c r="L53" s="163" t="n">
        <v>0.258</v>
      </c>
      <c r="M53" s="164" t="n">
        <v>134</v>
      </c>
      <c r="N53" s="165" t="n">
        <v>-15.9959</v>
      </c>
      <c r="O53" s="166" t="n">
        <v>-1.2296</v>
      </c>
      <c r="P53" s="167" t="n">
        <v>0.3</v>
      </c>
      <c r="Q53" s="157" t="inlineStr">
        <is>
          <t>NEGATIVO</t>
        </is>
      </c>
      <c r="R53" s="157" t="inlineStr">
        <is>
          <t>Auto v5.3 22:56</t>
        </is>
      </c>
    </row>
    <row r="54" ht="18" customHeight="1" s="140">
      <c r="A54" s="172" t="n">
        <v>51</v>
      </c>
      <c r="B54" s="173" t="inlineStr">
        <is>
          <t>2026-03-18</t>
        </is>
      </c>
      <c r="C54" s="174" t="inlineStr">
        <is>
          <t>v5.3</t>
        </is>
      </c>
      <c r="D54" s="175" t="inlineStr">
        <is>
          <t>2. Cruce EMA  (EMA+MACD+ADX)</t>
        </is>
      </c>
      <c r="E54" s="174" t="inlineStr">
        <is>
          <t>10/50</t>
        </is>
      </c>
      <c r="F54" s="176" t="n">
        <v>12</v>
      </c>
      <c r="G54" s="174" t="inlineStr">
        <is>
          <t>london_ny</t>
        </is>
      </c>
      <c r="H54" s="177" t="n">
        <v>4</v>
      </c>
      <c r="I54" s="178" t="n">
        <v>0.25</v>
      </c>
      <c r="J54" s="179" t="n">
        <v>-12.255</v>
      </c>
      <c r="K54" s="180" t="n">
        <v>0.0443</v>
      </c>
      <c r="L54" s="181" t="n">
        <v>0.237</v>
      </c>
      <c r="M54" s="182" t="n">
        <v>144.92</v>
      </c>
      <c r="N54" s="183" t="n">
        <v>-5.0757</v>
      </c>
      <c r="O54" s="184" t="n">
        <v>-1.2681</v>
      </c>
      <c r="P54" s="185" t="n">
        <v>0.1</v>
      </c>
      <c r="Q54" s="175" t="inlineStr">
        <is>
          <t>Pocos trades (&lt;10)</t>
        </is>
      </c>
      <c r="R54" s="175" t="inlineStr">
        <is>
          <t>Auto v5.3 22:56</t>
        </is>
      </c>
    </row>
    <row r="55" ht="18" customHeight="1" s="140">
      <c r="A55" s="154" t="n">
        <v>52</v>
      </c>
      <c r="B55" s="155" t="inlineStr">
        <is>
          <t>2026-03-18</t>
        </is>
      </c>
      <c r="C55" s="156" t="inlineStr">
        <is>
          <t>v5.3</t>
        </is>
      </c>
      <c r="D55" s="157" t="inlineStr">
        <is>
          <t>3. Breakout   (BB+S/R)</t>
        </is>
      </c>
      <c r="E55" s="156" t="inlineStr">
        <is>
          <t>10/50</t>
        </is>
      </c>
      <c r="F55" s="158" t="n">
        <v>12</v>
      </c>
      <c r="G55" s="156" t="inlineStr">
        <is>
          <t>london_ny</t>
        </is>
      </c>
      <c r="H55" s="159" t="n">
        <v>11</v>
      </c>
      <c r="I55" s="160" t="n">
        <v>0.1818</v>
      </c>
      <c r="J55" s="161" t="n">
        <v>-9.819000000000001</v>
      </c>
      <c r="K55" s="162" t="n">
        <v>0.08990000000000001</v>
      </c>
      <c r="L55" s="163" t="n">
        <v>0.306</v>
      </c>
      <c r="M55" s="164" t="n">
        <v>136.52</v>
      </c>
      <c r="N55" s="165" t="n">
        <v>-13.4822</v>
      </c>
      <c r="O55" s="166" t="n">
        <v>-1.2249</v>
      </c>
      <c r="P55" s="167" t="n">
        <v>0.2</v>
      </c>
      <c r="Q55" s="157" t="inlineStr">
        <is>
          <t>NEGATIVO</t>
        </is>
      </c>
      <c r="R55" s="157" t="inlineStr">
        <is>
          <t>Auto v5.3 22:56</t>
        </is>
      </c>
    </row>
    <row r="56" ht="18" customHeight="1" s="140">
      <c r="A56" s="202" t="n">
        <v>53</v>
      </c>
      <c r="B56" s="203" t="inlineStr">
        <is>
          <t>2026-03-18</t>
        </is>
      </c>
      <c r="C56" s="204" t="inlineStr">
        <is>
          <t>v5.3</t>
        </is>
      </c>
      <c r="D56" s="205" t="inlineStr">
        <is>
          <t>4. Momentum   (RSI+MACD+SMA200)</t>
        </is>
      </c>
      <c r="E56" s="204" t="inlineStr">
        <is>
          <t>10/50</t>
        </is>
      </c>
      <c r="F56" s="206" t="n">
        <v>12</v>
      </c>
      <c r="G56" s="204" t="inlineStr">
        <is>
          <t>london_ny</t>
        </is>
      </c>
      <c r="H56" s="207" t="n">
        <v>21</v>
      </c>
      <c r="I56" s="208" t="n">
        <v>0.619</v>
      </c>
      <c r="J56" s="209" t="n">
        <v>5.864</v>
      </c>
      <c r="K56" s="210" t="n">
        <v>0.0298</v>
      </c>
      <c r="L56" s="211" t="n">
        <v>2.179</v>
      </c>
      <c r="M56" s="212" t="n">
        <v>173.07</v>
      </c>
      <c r="N56" s="213" t="n">
        <v>23.0717</v>
      </c>
      <c r="O56" s="214" t="n">
        <v>1.0994</v>
      </c>
      <c r="P56" s="215" t="n">
        <v>0.5</v>
      </c>
      <c r="Q56" s="205" t="inlineStr">
        <is>
          <t>EXCELENTE</t>
        </is>
      </c>
      <c r="R56" s="205" t="inlineStr">
        <is>
          <t>Auto v5.3 22:56</t>
        </is>
      </c>
    </row>
    <row r="57" ht="18" customHeight="1" s="140">
      <c r="A57" s="172" t="n">
        <v>54</v>
      </c>
      <c r="B57" s="173" t="inlineStr">
        <is>
          <t>2026-03-18</t>
        </is>
      </c>
      <c r="C57" s="174" t="inlineStr">
        <is>
          <t>v5.3</t>
        </is>
      </c>
      <c r="D57" s="175" t="inlineStr">
        <is>
          <t>5. Pullback   (Retroceso EMA)</t>
        </is>
      </c>
      <c r="E57" s="174" t="inlineStr">
        <is>
          <t>10/50</t>
        </is>
      </c>
      <c r="F57" s="176" t="n">
        <v>12</v>
      </c>
      <c r="G57" s="174" t="inlineStr">
        <is>
          <t>london_ny</t>
        </is>
      </c>
      <c r="H57" s="177" t="n">
        <v>4</v>
      </c>
      <c r="I57" s="178" t="n">
        <v>0.75</v>
      </c>
      <c r="J57" s="200" t="n">
        <v>11.708</v>
      </c>
      <c r="K57" s="180" t="n">
        <v>0.015</v>
      </c>
      <c r="L57" s="181" t="n">
        <v>3.987</v>
      </c>
      <c r="M57" s="182" t="n">
        <v>157</v>
      </c>
      <c r="N57" s="201" t="n">
        <v>7.0009</v>
      </c>
      <c r="O57" s="184" t="n">
        <v>1.7511</v>
      </c>
      <c r="P57" s="185" t="n">
        <v>0.1</v>
      </c>
      <c r="Q57" s="175" t="inlineStr">
        <is>
          <t>Pocos trades (&lt;10)</t>
        </is>
      </c>
      <c r="R57" s="175" t="inlineStr">
        <is>
          <t>Auto v5.3 22:56</t>
        </is>
      </c>
    </row>
    <row r="58" ht="18" customHeight="1" s="140">
      <c r="A58" s="202" t="n">
        <v>55</v>
      </c>
      <c r="B58" s="203" t="inlineStr">
        <is>
          <t>2026-03-18</t>
        </is>
      </c>
      <c r="C58" s="204" t="inlineStr">
        <is>
          <t>v5.3</t>
        </is>
      </c>
      <c r="D58" s="205" t="inlineStr">
        <is>
          <t>6. TODAS      (combinadas)</t>
        </is>
      </c>
      <c r="E58" s="204" t="inlineStr">
        <is>
          <t>10/50</t>
        </is>
      </c>
      <c r="F58" s="206" t="n">
        <v>12</v>
      </c>
      <c r="G58" s="204" t="inlineStr">
        <is>
          <t>london_ny</t>
        </is>
      </c>
      <c r="H58" s="207" t="n">
        <v>21</v>
      </c>
      <c r="I58" s="208" t="n">
        <v>0.619</v>
      </c>
      <c r="J58" s="209" t="n">
        <v>5.864</v>
      </c>
      <c r="K58" s="210" t="n">
        <v>0.0298</v>
      </c>
      <c r="L58" s="211" t="n">
        <v>2.179</v>
      </c>
      <c r="M58" s="212" t="n">
        <v>173.07</v>
      </c>
      <c r="N58" s="213" t="n">
        <v>23.0717</v>
      </c>
      <c r="O58" s="214" t="n">
        <v>1.0994</v>
      </c>
      <c r="P58" s="215" t="n">
        <v>0.5</v>
      </c>
      <c r="Q58" s="205" t="inlineStr">
        <is>
          <t>EXCELENTE</t>
        </is>
      </c>
      <c r="R58" s="205" t="inlineStr">
        <is>
          <t>Auto v5.3 22:56</t>
        </is>
      </c>
    </row>
    <row r="59" ht="18" customHeight="1" s="140">
      <c r="A59" s="202" t="n">
        <v>56</v>
      </c>
      <c r="B59" s="203" t="inlineStr">
        <is>
          <t>2026-03-18</t>
        </is>
      </c>
      <c r="C59" s="204" t="inlineStr">
        <is>
          <t>v5.3</t>
        </is>
      </c>
      <c r="D59" s="205" t="inlineStr">
        <is>
          <t>1. Momentum   (RSI+MACD+SMA200)</t>
        </is>
      </c>
      <c r="E59" s="204" t="inlineStr">
        <is>
          <t>10/50</t>
        </is>
      </c>
      <c r="F59" s="206" t="n">
        <v>12</v>
      </c>
      <c r="G59" s="204" t="inlineStr">
        <is>
          <t>london_ny</t>
        </is>
      </c>
      <c r="H59" s="207" t="n">
        <v>21</v>
      </c>
      <c r="I59" s="208" t="n">
        <v>0.619</v>
      </c>
      <c r="J59" s="209" t="n">
        <v>5.864</v>
      </c>
      <c r="K59" s="210" t="n">
        <v>0.0298</v>
      </c>
      <c r="L59" s="211" t="n">
        <v>2.179</v>
      </c>
      <c r="M59" s="212" t="n">
        <v>173.07</v>
      </c>
      <c r="N59" s="213" t="n">
        <v>23.0717</v>
      </c>
      <c r="O59" s="214" t="n">
        <v>1.0994</v>
      </c>
      <c r="P59" s="215" t="n">
        <v>0.5</v>
      </c>
      <c r="Q59" s="205" t="inlineStr">
        <is>
          <t>EXCELENTE</t>
        </is>
      </c>
      <c r="R59" s="205" t="inlineStr">
        <is>
          <t>Auto v5.3 23:08</t>
        </is>
      </c>
    </row>
    <row r="60" ht="18" customHeight="1" s="140">
      <c r="A60" s="172" t="n">
        <v>57</v>
      </c>
      <c r="B60" s="173" t="inlineStr">
        <is>
          <t>2026-03-18</t>
        </is>
      </c>
      <c r="C60" s="174" t="inlineStr">
        <is>
          <t>v5.3</t>
        </is>
      </c>
      <c r="D60" s="175" t="inlineStr">
        <is>
          <t>2. Cruce EMA  (EMA+MACD+ADX)</t>
        </is>
      </c>
      <c r="E60" s="174" t="inlineStr">
        <is>
          <t>10/50</t>
        </is>
      </c>
      <c r="F60" s="176" t="n">
        <v>12</v>
      </c>
      <c r="G60" s="174" t="inlineStr">
        <is>
          <t>london_ny</t>
        </is>
      </c>
      <c r="H60" s="177" t="n">
        <v>4</v>
      </c>
      <c r="I60" s="178" t="n">
        <v>0.25</v>
      </c>
      <c r="J60" s="179" t="n">
        <v>-12.255</v>
      </c>
      <c r="K60" s="180" t="n">
        <v>0.0443</v>
      </c>
      <c r="L60" s="181" t="n">
        <v>0.237</v>
      </c>
      <c r="M60" s="182" t="n">
        <v>144.92</v>
      </c>
      <c r="N60" s="183" t="n">
        <v>-5.0757</v>
      </c>
      <c r="O60" s="184" t="n">
        <v>-1.2681</v>
      </c>
      <c r="P60" s="185" t="n">
        <v>0.1</v>
      </c>
      <c r="Q60" s="175" t="inlineStr">
        <is>
          <t>Pocos trades (&lt;10)</t>
        </is>
      </c>
      <c r="R60" s="175" t="inlineStr">
        <is>
          <t>Auto v5.3 23:08</t>
        </is>
      </c>
    </row>
    <row r="61" ht="18" customHeight="1" s="140">
      <c r="A61" s="172" t="n">
        <v>58</v>
      </c>
      <c r="B61" s="173" t="inlineStr">
        <is>
          <t>2026-03-18</t>
        </is>
      </c>
      <c r="C61" s="174" t="inlineStr">
        <is>
          <t>v5.3</t>
        </is>
      </c>
      <c r="D61" s="175" t="inlineStr">
        <is>
          <t>3. Pullback   (Retroceso EMA)</t>
        </is>
      </c>
      <c r="E61" s="174" t="inlineStr">
        <is>
          <t>10/50</t>
        </is>
      </c>
      <c r="F61" s="176" t="n">
        <v>12</v>
      </c>
      <c r="G61" s="174" t="inlineStr">
        <is>
          <t>london_ny</t>
        </is>
      </c>
      <c r="H61" s="177" t="n">
        <v>4</v>
      </c>
      <c r="I61" s="178" t="n">
        <v>0.75</v>
      </c>
      <c r="J61" s="200" t="n">
        <v>11.708</v>
      </c>
      <c r="K61" s="180" t="n">
        <v>0.015</v>
      </c>
      <c r="L61" s="181" t="n">
        <v>3.987</v>
      </c>
      <c r="M61" s="182" t="n">
        <v>157</v>
      </c>
      <c r="N61" s="201" t="n">
        <v>7.0009</v>
      </c>
      <c r="O61" s="184" t="n">
        <v>1.7511</v>
      </c>
      <c r="P61" s="185" t="n">
        <v>0.1</v>
      </c>
      <c r="Q61" s="175" t="inlineStr">
        <is>
          <t>Pocos trades (&lt;10)</t>
        </is>
      </c>
      <c r="R61" s="175" t="inlineStr">
        <is>
          <t>Auto v5.3 23:08</t>
        </is>
      </c>
    </row>
    <row r="62" ht="18" customHeight="1" s="140">
      <c r="A62" s="202" t="n">
        <v>59</v>
      </c>
      <c r="B62" s="203" t="inlineStr">
        <is>
          <t>2026-03-18</t>
        </is>
      </c>
      <c r="C62" s="204" t="inlineStr">
        <is>
          <t>v5.3</t>
        </is>
      </c>
      <c r="D62" s="205" t="inlineStr">
        <is>
          <t>4. TODAS      (combinadas)</t>
        </is>
      </c>
      <c r="E62" s="204" t="inlineStr">
        <is>
          <t>10/50</t>
        </is>
      </c>
      <c r="F62" s="206" t="n">
        <v>12</v>
      </c>
      <c r="G62" s="204" t="inlineStr">
        <is>
          <t>london_ny</t>
        </is>
      </c>
      <c r="H62" s="207" t="n">
        <v>21</v>
      </c>
      <c r="I62" s="208" t="n">
        <v>0.619</v>
      </c>
      <c r="J62" s="209" t="n">
        <v>5.864</v>
      </c>
      <c r="K62" s="210" t="n">
        <v>0.0298</v>
      </c>
      <c r="L62" s="211" t="n">
        <v>2.179</v>
      </c>
      <c r="M62" s="212" t="n">
        <v>173.07</v>
      </c>
      <c r="N62" s="213" t="n">
        <v>23.0717</v>
      </c>
      <c r="O62" s="214" t="n">
        <v>1.0994</v>
      </c>
      <c r="P62" s="215" t="n">
        <v>0.5</v>
      </c>
      <c r="Q62" s="205" t="inlineStr">
        <is>
          <t>EXCELENTE</t>
        </is>
      </c>
      <c r="R62" s="205" t="inlineStr">
        <is>
          <t>Auto v5.3 23:08</t>
        </is>
      </c>
    </row>
    <row r="63" ht="18" customHeight="1" s="140">
      <c r="A63" s="202" t="n">
        <v>60</v>
      </c>
      <c r="B63" s="203" t="inlineStr">
        <is>
          <t>2026-03-18</t>
        </is>
      </c>
      <c r="C63" s="204" t="inlineStr">
        <is>
          <t>v5.3</t>
        </is>
      </c>
      <c r="D63" s="205" t="inlineStr">
        <is>
          <t>1. Momentum   (RSI+MACD+SMA200)</t>
        </is>
      </c>
      <c r="E63" s="204" t="inlineStr">
        <is>
          <t>10/50</t>
        </is>
      </c>
      <c r="F63" s="206" t="n">
        <v>12</v>
      </c>
      <c r="G63" s="204" t="inlineStr">
        <is>
          <t>london_ny</t>
        </is>
      </c>
      <c r="H63" s="207" t="n">
        <v>21</v>
      </c>
      <c r="I63" s="208" t="n">
        <v>0.619</v>
      </c>
      <c r="J63" s="209" t="n">
        <v>5.864</v>
      </c>
      <c r="K63" s="210" t="n">
        <v>0.0298</v>
      </c>
      <c r="L63" s="211" t="n">
        <v>2.179</v>
      </c>
      <c r="M63" s="212" t="n">
        <v>173.07</v>
      </c>
      <c r="N63" s="213" t="n">
        <v>23.0717</v>
      </c>
      <c r="O63" s="214" t="n">
        <v>1.0994</v>
      </c>
      <c r="P63" s="215" t="n">
        <v>0.5</v>
      </c>
      <c r="Q63" s="205" t="inlineStr">
        <is>
          <t>EXCELENTE</t>
        </is>
      </c>
      <c r="R63" s="205" t="inlineStr">
        <is>
          <t>Auto v5.3 23:16</t>
        </is>
      </c>
    </row>
    <row r="64" ht="18" customHeight="1" s="140">
      <c r="A64" s="172" t="n">
        <v>61</v>
      </c>
      <c r="B64" s="173" t="inlineStr">
        <is>
          <t>2026-03-18</t>
        </is>
      </c>
      <c r="C64" s="174" t="inlineStr">
        <is>
          <t>v5.3</t>
        </is>
      </c>
      <c r="D64" s="175" t="inlineStr">
        <is>
          <t>2. Cruce EMA  (EMA+MACD+ADX)</t>
        </is>
      </c>
      <c r="E64" s="174" t="inlineStr">
        <is>
          <t>10/50</t>
        </is>
      </c>
      <c r="F64" s="176" t="n">
        <v>12</v>
      </c>
      <c r="G64" s="174" t="inlineStr">
        <is>
          <t>london_ny</t>
        </is>
      </c>
      <c r="H64" s="177" t="n">
        <v>4</v>
      </c>
      <c r="I64" s="178" t="n">
        <v>0.25</v>
      </c>
      <c r="J64" s="179" t="n">
        <v>-12.255</v>
      </c>
      <c r="K64" s="180" t="n">
        <v>0.0443</v>
      </c>
      <c r="L64" s="181" t="n">
        <v>0.237</v>
      </c>
      <c r="M64" s="182" t="n">
        <v>144.92</v>
      </c>
      <c r="N64" s="183" t="n">
        <v>-5.0757</v>
      </c>
      <c r="O64" s="184" t="n">
        <v>-1.2681</v>
      </c>
      <c r="P64" s="185" t="n">
        <v>0.1</v>
      </c>
      <c r="Q64" s="175" t="inlineStr">
        <is>
          <t>Pocos trades (&lt;10)</t>
        </is>
      </c>
      <c r="R64" s="175" t="inlineStr">
        <is>
          <t>Auto v5.3 23:16</t>
        </is>
      </c>
    </row>
    <row r="65" ht="18" customHeight="1" s="140">
      <c r="A65" s="172" t="n">
        <v>62</v>
      </c>
      <c r="B65" s="173" t="inlineStr">
        <is>
          <t>2026-03-18</t>
        </is>
      </c>
      <c r="C65" s="174" t="inlineStr">
        <is>
          <t>v5.3</t>
        </is>
      </c>
      <c r="D65" s="175" t="inlineStr">
        <is>
          <t>3. Pullback   (Retroceso EMA)</t>
        </is>
      </c>
      <c r="E65" s="174" t="inlineStr">
        <is>
          <t>10/50</t>
        </is>
      </c>
      <c r="F65" s="176" t="n">
        <v>12</v>
      </c>
      <c r="G65" s="174" t="inlineStr">
        <is>
          <t>london_ny</t>
        </is>
      </c>
      <c r="H65" s="177" t="n">
        <v>4</v>
      </c>
      <c r="I65" s="178" t="n">
        <v>0.75</v>
      </c>
      <c r="J65" s="200" t="n">
        <v>11.708</v>
      </c>
      <c r="K65" s="180" t="n">
        <v>0.015</v>
      </c>
      <c r="L65" s="181" t="n">
        <v>3.987</v>
      </c>
      <c r="M65" s="182" t="n">
        <v>157</v>
      </c>
      <c r="N65" s="201" t="n">
        <v>7.0009</v>
      </c>
      <c r="O65" s="184" t="n">
        <v>1.7511</v>
      </c>
      <c r="P65" s="185" t="n">
        <v>0.1</v>
      </c>
      <c r="Q65" s="175" t="inlineStr">
        <is>
          <t>Pocos trades (&lt;10)</t>
        </is>
      </c>
      <c r="R65" s="175" t="inlineStr">
        <is>
          <t>Auto v5.3 23:16</t>
        </is>
      </c>
    </row>
    <row r="66" ht="18" customHeight="1" s="140">
      <c r="A66" s="202" t="n">
        <v>63</v>
      </c>
      <c r="B66" s="203" t="inlineStr">
        <is>
          <t>2026-03-18</t>
        </is>
      </c>
      <c r="C66" s="204" t="inlineStr">
        <is>
          <t>v5.3</t>
        </is>
      </c>
      <c r="D66" s="205" t="inlineStr">
        <is>
          <t>4. TODAS      (combinadas)</t>
        </is>
      </c>
      <c r="E66" s="204" t="inlineStr">
        <is>
          <t>10/50</t>
        </is>
      </c>
      <c r="F66" s="206" t="n">
        <v>12</v>
      </c>
      <c r="G66" s="204" t="inlineStr">
        <is>
          <t>london_ny</t>
        </is>
      </c>
      <c r="H66" s="207" t="n">
        <v>21</v>
      </c>
      <c r="I66" s="208" t="n">
        <v>0.619</v>
      </c>
      <c r="J66" s="209" t="n">
        <v>5.864</v>
      </c>
      <c r="K66" s="210" t="n">
        <v>0.0298</v>
      </c>
      <c r="L66" s="211" t="n">
        <v>2.179</v>
      </c>
      <c r="M66" s="212" t="n">
        <v>173.07</v>
      </c>
      <c r="N66" s="213" t="n">
        <v>23.0717</v>
      </c>
      <c r="O66" s="214" t="n">
        <v>1.0994</v>
      </c>
      <c r="P66" s="215" t="n">
        <v>0.5</v>
      </c>
      <c r="Q66" s="205" t="inlineStr">
        <is>
          <t>EXCELENTE</t>
        </is>
      </c>
      <c r="R66" s="205" t="inlineStr">
        <is>
          <t>Auto v5.3 23:16</t>
        </is>
      </c>
    </row>
    <row r="67" ht="18" customHeight="1" s="140">
      <c r="A67" s="202" t="n">
        <v>64</v>
      </c>
      <c r="B67" s="203" t="inlineStr">
        <is>
          <t>2026-03-18</t>
        </is>
      </c>
      <c r="C67" s="204" t="inlineStr">
        <is>
          <t>v5.3</t>
        </is>
      </c>
      <c r="D67" s="205" t="inlineStr">
        <is>
          <t>1. Momentum   (RSI+MACD+SMA200)</t>
        </is>
      </c>
      <c r="E67" s="204" t="inlineStr">
        <is>
          <t>10/50</t>
        </is>
      </c>
      <c r="F67" s="206" t="n">
        <v>12</v>
      </c>
      <c r="G67" s="204" t="inlineStr">
        <is>
          <t>london_ny</t>
        </is>
      </c>
      <c r="H67" s="207" t="n">
        <v>21</v>
      </c>
      <c r="I67" s="208" t="n">
        <v>0.619</v>
      </c>
      <c r="J67" s="209" t="n">
        <v>5.864</v>
      </c>
      <c r="K67" s="210" t="n">
        <v>0.0298</v>
      </c>
      <c r="L67" s="211" t="n">
        <v>2.179</v>
      </c>
      <c r="M67" s="212" t="n">
        <v>173.07</v>
      </c>
      <c r="N67" s="213" t="n">
        <v>23.0717</v>
      </c>
      <c r="O67" s="214" t="n">
        <v>1.0994</v>
      </c>
      <c r="P67" s="215" t="n">
        <v>0.5</v>
      </c>
      <c r="Q67" s="205" t="inlineStr">
        <is>
          <t>EXCELENTE</t>
        </is>
      </c>
      <c r="R67" s="205" t="inlineStr">
        <is>
          <t>Auto v5.3 23:21</t>
        </is>
      </c>
    </row>
    <row r="68" ht="18" customHeight="1" s="140">
      <c r="A68" s="172" t="n">
        <v>65</v>
      </c>
      <c r="B68" s="173" t="inlineStr">
        <is>
          <t>2026-03-18</t>
        </is>
      </c>
      <c r="C68" s="174" t="inlineStr">
        <is>
          <t>v5.3</t>
        </is>
      </c>
      <c r="D68" s="175" t="inlineStr">
        <is>
          <t>2. Cruce EMA  (EMA+MACD+ADX)</t>
        </is>
      </c>
      <c r="E68" s="174" t="inlineStr">
        <is>
          <t>10/50</t>
        </is>
      </c>
      <c r="F68" s="176" t="n">
        <v>12</v>
      </c>
      <c r="G68" s="174" t="inlineStr">
        <is>
          <t>london_ny</t>
        </is>
      </c>
      <c r="H68" s="177" t="n">
        <v>4</v>
      </c>
      <c r="I68" s="178" t="n">
        <v>0.25</v>
      </c>
      <c r="J68" s="179" t="n">
        <v>-12.255</v>
      </c>
      <c r="K68" s="180" t="n">
        <v>0.0443</v>
      </c>
      <c r="L68" s="181" t="n">
        <v>0.237</v>
      </c>
      <c r="M68" s="182" t="n">
        <v>144.92</v>
      </c>
      <c r="N68" s="183" t="n">
        <v>-5.0757</v>
      </c>
      <c r="O68" s="184" t="n">
        <v>-1.2681</v>
      </c>
      <c r="P68" s="185" t="n">
        <v>0.1</v>
      </c>
      <c r="Q68" s="175" t="inlineStr">
        <is>
          <t>Pocos trades (&lt;10)</t>
        </is>
      </c>
      <c r="R68" s="175" t="inlineStr">
        <is>
          <t>Auto v5.3 23:21</t>
        </is>
      </c>
    </row>
    <row r="69" ht="18" customHeight="1" s="140">
      <c r="A69" s="172" t="n">
        <v>66</v>
      </c>
      <c r="B69" s="173" t="inlineStr">
        <is>
          <t>2026-03-18</t>
        </is>
      </c>
      <c r="C69" s="174" t="inlineStr">
        <is>
          <t>v5.3</t>
        </is>
      </c>
      <c r="D69" s="175" t="inlineStr">
        <is>
          <t>3. Pullback   (Retroceso EMA)</t>
        </is>
      </c>
      <c r="E69" s="174" t="inlineStr">
        <is>
          <t>10/50</t>
        </is>
      </c>
      <c r="F69" s="176" t="n">
        <v>12</v>
      </c>
      <c r="G69" s="174" t="inlineStr">
        <is>
          <t>london_ny</t>
        </is>
      </c>
      <c r="H69" s="177" t="n">
        <v>4</v>
      </c>
      <c r="I69" s="178" t="n">
        <v>0.75</v>
      </c>
      <c r="J69" s="200" t="n">
        <v>11.708</v>
      </c>
      <c r="K69" s="180" t="n">
        <v>0.015</v>
      </c>
      <c r="L69" s="181" t="n">
        <v>3.987</v>
      </c>
      <c r="M69" s="182" t="n">
        <v>157</v>
      </c>
      <c r="N69" s="201" t="n">
        <v>7.0009</v>
      </c>
      <c r="O69" s="184" t="n">
        <v>1.7511</v>
      </c>
      <c r="P69" s="185" t="n">
        <v>0.1</v>
      </c>
      <c r="Q69" s="175" t="inlineStr">
        <is>
          <t>Pocos trades (&lt;10)</t>
        </is>
      </c>
      <c r="R69" s="175" t="inlineStr">
        <is>
          <t>Auto v5.3 23:21</t>
        </is>
      </c>
    </row>
    <row r="70" ht="18" customHeight="1" s="140">
      <c r="A70" s="202" t="n">
        <v>67</v>
      </c>
      <c r="B70" s="203" t="inlineStr">
        <is>
          <t>2026-03-18</t>
        </is>
      </c>
      <c r="C70" s="204" t="inlineStr">
        <is>
          <t>v5.3</t>
        </is>
      </c>
      <c r="D70" s="205" t="inlineStr">
        <is>
          <t>4. TODAS      (combinadas)</t>
        </is>
      </c>
      <c r="E70" s="204" t="inlineStr">
        <is>
          <t>10/50</t>
        </is>
      </c>
      <c r="F70" s="206" t="n">
        <v>12</v>
      </c>
      <c r="G70" s="204" t="inlineStr">
        <is>
          <t>london_ny</t>
        </is>
      </c>
      <c r="H70" s="207" t="n">
        <v>21</v>
      </c>
      <c r="I70" s="208" t="n">
        <v>0.619</v>
      </c>
      <c r="J70" s="209" t="n">
        <v>5.864</v>
      </c>
      <c r="K70" s="210" t="n">
        <v>0.0298</v>
      </c>
      <c r="L70" s="211" t="n">
        <v>2.179</v>
      </c>
      <c r="M70" s="212" t="n">
        <v>173.07</v>
      </c>
      <c r="N70" s="213" t="n">
        <v>23.0717</v>
      </c>
      <c r="O70" s="214" t="n">
        <v>1.0994</v>
      </c>
      <c r="P70" s="215" t="n">
        <v>0.5</v>
      </c>
      <c r="Q70" s="205" t="inlineStr">
        <is>
          <t>EXCELENTE</t>
        </is>
      </c>
      <c r="R70" s="205" t="inlineStr">
        <is>
          <t>Auto v5.3 23:21</t>
        </is>
      </c>
    </row>
    <row r="71" ht="18" customHeight="1" s="140">
      <c r="A71" s="202" t="n">
        <v>68</v>
      </c>
      <c r="B71" s="203" t="inlineStr">
        <is>
          <t>2026-03-19</t>
        </is>
      </c>
      <c r="C71" s="204" t="inlineStr">
        <is>
          <t>v5.3</t>
        </is>
      </c>
      <c r="D71" s="205" t="inlineStr">
        <is>
          <t>1. Momentum   (RSI+MACD+SMA200)</t>
        </is>
      </c>
      <c r="E71" s="204" t="inlineStr">
        <is>
          <t>10/50</t>
        </is>
      </c>
      <c r="F71" s="206" t="n">
        <v>12</v>
      </c>
      <c r="G71" s="204" t="inlineStr">
        <is>
          <t>london_ny</t>
        </is>
      </c>
      <c r="H71" s="207" t="n">
        <v>21</v>
      </c>
      <c r="I71" s="208" t="n">
        <v>0.619</v>
      </c>
      <c r="J71" s="209" t="n">
        <v>5.864</v>
      </c>
      <c r="K71" s="210" t="n">
        <v>0.0298</v>
      </c>
      <c r="L71" s="211" t="n">
        <v>2.179</v>
      </c>
      <c r="M71" s="212" t="n">
        <v>173.07</v>
      </c>
      <c r="N71" s="213" t="n">
        <v>23.0717</v>
      </c>
      <c r="O71" s="214" t="n">
        <v>1.0994</v>
      </c>
      <c r="P71" s="215" t="n">
        <v>0.5</v>
      </c>
      <c r="Q71" s="205" t="inlineStr">
        <is>
          <t>EXCELENTE</t>
        </is>
      </c>
      <c r="R71" s="205" t="inlineStr">
        <is>
          <t>Auto v5.3 00:03</t>
        </is>
      </c>
    </row>
    <row r="72" ht="18" customHeight="1" s="140">
      <c r="A72" s="172" t="n">
        <v>69</v>
      </c>
      <c r="B72" s="173" t="inlineStr">
        <is>
          <t>2026-03-19</t>
        </is>
      </c>
      <c r="C72" s="174" t="inlineStr">
        <is>
          <t>v5.3</t>
        </is>
      </c>
      <c r="D72" s="175" t="inlineStr">
        <is>
          <t>2. Cruce EMA  (EMA+MACD+ADX)</t>
        </is>
      </c>
      <c r="E72" s="174" t="inlineStr">
        <is>
          <t>10/50</t>
        </is>
      </c>
      <c r="F72" s="176" t="n">
        <v>12</v>
      </c>
      <c r="G72" s="174" t="inlineStr">
        <is>
          <t>london_ny</t>
        </is>
      </c>
      <c r="H72" s="177" t="n">
        <v>4</v>
      </c>
      <c r="I72" s="178" t="n">
        <v>0.25</v>
      </c>
      <c r="J72" s="179" t="n">
        <v>-12.255</v>
      </c>
      <c r="K72" s="180" t="n">
        <v>0.0443</v>
      </c>
      <c r="L72" s="181" t="n">
        <v>0.237</v>
      </c>
      <c r="M72" s="182" t="n">
        <v>144.92</v>
      </c>
      <c r="N72" s="183" t="n">
        <v>-5.0757</v>
      </c>
      <c r="O72" s="184" t="n">
        <v>-1.2681</v>
      </c>
      <c r="P72" s="185" t="n">
        <v>0.1</v>
      </c>
      <c r="Q72" s="175" t="inlineStr">
        <is>
          <t>Pocos trades (&lt;10)</t>
        </is>
      </c>
      <c r="R72" s="175" t="inlineStr">
        <is>
          <t>Auto v5.3 00:03</t>
        </is>
      </c>
    </row>
    <row r="73" ht="18" customHeight="1" s="140">
      <c r="A73" s="172" t="n">
        <v>70</v>
      </c>
      <c r="B73" s="173" t="inlineStr">
        <is>
          <t>2026-03-19</t>
        </is>
      </c>
      <c r="C73" s="174" t="inlineStr">
        <is>
          <t>v5.3</t>
        </is>
      </c>
      <c r="D73" s="175" t="inlineStr">
        <is>
          <t>3. Pullback   (Retroceso EMA)</t>
        </is>
      </c>
      <c r="E73" s="174" t="inlineStr">
        <is>
          <t>10/50</t>
        </is>
      </c>
      <c r="F73" s="176" t="n">
        <v>12</v>
      </c>
      <c r="G73" s="174" t="inlineStr">
        <is>
          <t>london_ny</t>
        </is>
      </c>
      <c r="H73" s="177" t="n">
        <v>4</v>
      </c>
      <c r="I73" s="178" t="n">
        <v>0.75</v>
      </c>
      <c r="J73" s="200" t="n">
        <v>11.708</v>
      </c>
      <c r="K73" s="180" t="n">
        <v>0.015</v>
      </c>
      <c r="L73" s="181" t="n">
        <v>3.987</v>
      </c>
      <c r="M73" s="182" t="n">
        <v>157</v>
      </c>
      <c r="N73" s="201" t="n">
        <v>7.0009</v>
      </c>
      <c r="O73" s="184" t="n">
        <v>1.7511</v>
      </c>
      <c r="P73" s="185" t="n">
        <v>0.1</v>
      </c>
      <c r="Q73" s="175" t="inlineStr">
        <is>
          <t>Pocos trades (&lt;10)</t>
        </is>
      </c>
      <c r="R73" s="175" t="inlineStr">
        <is>
          <t>Auto v5.3 00:03</t>
        </is>
      </c>
    </row>
    <row r="74" ht="18" customHeight="1" s="140">
      <c r="A74" s="202" t="n">
        <v>71</v>
      </c>
      <c r="B74" s="203" t="inlineStr">
        <is>
          <t>2026-03-19</t>
        </is>
      </c>
      <c r="C74" s="204" t="inlineStr">
        <is>
          <t>v5.3</t>
        </is>
      </c>
      <c r="D74" s="205" t="inlineStr">
        <is>
          <t>4. TODAS      (combinadas)</t>
        </is>
      </c>
      <c r="E74" s="204" t="inlineStr">
        <is>
          <t>10/50</t>
        </is>
      </c>
      <c r="F74" s="206" t="n">
        <v>12</v>
      </c>
      <c r="G74" s="204" t="inlineStr">
        <is>
          <t>london_ny</t>
        </is>
      </c>
      <c r="H74" s="207" t="n">
        <v>21</v>
      </c>
      <c r="I74" s="208" t="n">
        <v>0.619</v>
      </c>
      <c r="J74" s="209" t="n">
        <v>5.864</v>
      </c>
      <c r="K74" s="210" t="n">
        <v>0.0298</v>
      </c>
      <c r="L74" s="211" t="n">
        <v>2.179</v>
      </c>
      <c r="M74" s="212" t="n">
        <v>173.07</v>
      </c>
      <c r="N74" s="213" t="n">
        <v>23.0717</v>
      </c>
      <c r="O74" s="214" t="n">
        <v>1.0994</v>
      </c>
      <c r="P74" s="215" t="n">
        <v>0.5</v>
      </c>
      <c r="Q74" s="205" t="inlineStr">
        <is>
          <t>EXCELENTE</t>
        </is>
      </c>
      <c r="R74" s="205" t="inlineStr">
        <is>
          <t>Auto v5.3 00:03</t>
        </is>
      </c>
    </row>
    <row r="75" ht="18" customHeight="1" s="140">
      <c r="A75" s="202" t="n">
        <v>72</v>
      </c>
      <c r="B75" s="203" t="inlineStr">
        <is>
          <t>2026-04-14</t>
        </is>
      </c>
      <c r="C75" s="204" t="inlineStr">
        <is>
          <t>v5.3</t>
        </is>
      </c>
      <c r="D75" s="205" t="inlineStr">
        <is>
          <t>1. Momentum   (RSI+MACD+SMA200)</t>
        </is>
      </c>
      <c r="E75" s="204" t="inlineStr">
        <is>
          <t>10/50</t>
        </is>
      </c>
      <c r="F75" s="206" t="n">
        <v>12</v>
      </c>
      <c r="G75" s="204" t="inlineStr">
        <is>
          <t>london_ny</t>
        </is>
      </c>
      <c r="H75" s="207" t="n">
        <v>21</v>
      </c>
      <c r="I75" s="208" t="n">
        <v>0.619</v>
      </c>
      <c r="J75" s="209" t="n">
        <v>5.864</v>
      </c>
      <c r="K75" s="210" t="n">
        <v>0.0298</v>
      </c>
      <c r="L75" s="211" t="n">
        <v>2.179</v>
      </c>
      <c r="M75" s="212" t="n">
        <v>173.07</v>
      </c>
      <c r="N75" s="213" t="n">
        <v>23.0717</v>
      </c>
      <c r="O75" s="214" t="n">
        <v>1.0994</v>
      </c>
      <c r="P75" s="215" t="n">
        <v>0.5</v>
      </c>
      <c r="Q75" s="205" t="inlineStr">
        <is>
          <t>EXCELENTE</t>
        </is>
      </c>
      <c r="R75" s="205" t="inlineStr">
        <is>
          <t>Auto v5.3 15:09</t>
        </is>
      </c>
    </row>
    <row r="76" ht="18" customHeight="1" s="140">
      <c r="A76" s="172" t="n">
        <v>73</v>
      </c>
      <c r="B76" s="173" t="inlineStr">
        <is>
          <t>2026-04-14</t>
        </is>
      </c>
      <c r="C76" s="174" t="inlineStr">
        <is>
          <t>v5.3</t>
        </is>
      </c>
      <c r="D76" s="175" t="inlineStr">
        <is>
          <t>2. Cruce EMA  (EMA+MACD+ADX)</t>
        </is>
      </c>
      <c r="E76" s="174" t="inlineStr">
        <is>
          <t>10/50</t>
        </is>
      </c>
      <c r="F76" s="176" t="n">
        <v>12</v>
      </c>
      <c r="G76" s="174" t="inlineStr">
        <is>
          <t>london_ny</t>
        </is>
      </c>
      <c r="H76" s="177" t="n">
        <v>4</v>
      </c>
      <c r="I76" s="178" t="n">
        <v>0.25</v>
      </c>
      <c r="J76" s="179" t="n">
        <v>-12.255</v>
      </c>
      <c r="K76" s="180" t="n">
        <v>0.0443</v>
      </c>
      <c r="L76" s="181" t="n">
        <v>0.237</v>
      </c>
      <c r="M76" s="182" t="n">
        <v>144.92</v>
      </c>
      <c r="N76" s="183" t="n">
        <v>-5.0757</v>
      </c>
      <c r="O76" s="184" t="n">
        <v>-1.2681</v>
      </c>
      <c r="P76" s="185" t="n">
        <v>0.1</v>
      </c>
      <c r="Q76" s="175" t="inlineStr">
        <is>
          <t>Pocos trades (&lt;10)</t>
        </is>
      </c>
      <c r="R76" s="175" t="inlineStr">
        <is>
          <t>Auto v5.3 15:09</t>
        </is>
      </c>
    </row>
    <row r="77" ht="18" customHeight="1" s="140">
      <c r="A77" s="172" t="n">
        <v>74</v>
      </c>
      <c r="B77" s="173" t="inlineStr">
        <is>
          <t>2026-04-14</t>
        </is>
      </c>
      <c r="C77" s="174" t="inlineStr">
        <is>
          <t>v5.3</t>
        </is>
      </c>
      <c r="D77" s="175" t="inlineStr">
        <is>
          <t>3. Pullback   (Retroceso EMA)</t>
        </is>
      </c>
      <c r="E77" s="174" t="inlineStr">
        <is>
          <t>10/50</t>
        </is>
      </c>
      <c r="F77" s="176" t="n">
        <v>12</v>
      </c>
      <c r="G77" s="174" t="inlineStr">
        <is>
          <t>london_ny</t>
        </is>
      </c>
      <c r="H77" s="177" t="n">
        <v>4</v>
      </c>
      <c r="I77" s="178" t="n">
        <v>0.75</v>
      </c>
      <c r="J77" s="200" t="n">
        <v>11.708</v>
      </c>
      <c r="K77" s="180" t="n">
        <v>0.015</v>
      </c>
      <c r="L77" s="181" t="n">
        <v>3.987</v>
      </c>
      <c r="M77" s="182" t="n">
        <v>157</v>
      </c>
      <c r="N77" s="201" t="n">
        <v>7.0009</v>
      </c>
      <c r="O77" s="184" t="n">
        <v>1.7511</v>
      </c>
      <c r="P77" s="185" t="n">
        <v>0.1</v>
      </c>
      <c r="Q77" s="175" t="inlineStr">
        <is>
          <t>Pocos trades (&lt;10)</t>
        </is>
      </c>
      <c r="R77" s="175" t="inlineStr">
        <is>
          <t>Auto v5.3 15:09</t>
        </is>
      </c>
    </row>
    <row r="78" ht="18" customHeight="1" s="140">
      <c r="A78" s="202" t="n">
        <v>75</v>
      </c>
      <c r="B78" s="203" t="inlineStr">
        <is>
          <t>2026-04-14</t>
        </is>
      </c>
      <c r="C78" s="204" t="inlineStr">
        <is>
          <t>v5.3</t>
        </is>
      </c>
      <c r="D78" s="205" t="inlineStr">
        <is>
          <t>4. TODAS      (combinadas)</t>
        </is>
      </c>
      <c r="E78" s="204" t="inlineStr">
        <is>
          <t>10/50</t>
        </is>
      </c>
      <c r="F78" s="206" t="n">
        <v>12</v>
      </c>
      <c r="G78" s="204" t="inlineStr">
        <is>
          <t>london_ny</t>
        </is>
      </c>
      <c r="H78" s="207" t="n">
        <v>21</v>
      </c>
      <c r="I78" s="208" t="n">
        <v>0.619</v>
      </c>
      <c r="J78" s="209" t="n">
        <v>5.864</v>
      </c>
      <c r="K78" s="210" t="n">
        <v>0.0298</v>
      </c>
      <c r="L78" s="211" t="n">
        <v>2.179</v>
      </c>
      <c r="M78" s="212" t="n">
        <v>173.07</v>
      </c>
      <c r="N78" s="213" t="n">
        <v>23.0717</v>
      </c>
      <c r="O78" s="214" t="n">
        <v>1.0994</v>
      </c>
      <c r="P78" s="215" t="n">
        <v>0.5</v>
      </c>
      <c r="Q78" s="205" t="inlineStr">
        <is>
          <t>EXCELENTE</t>
        </is>
      </c>
      <c r="R78" s="205" t="inlineStr">
        <is>
          <t>Auto v5.3 15:09</t>
        </is>
      </c>
    </row>
    <row r="79" ht="18" customHeight="1" s="140">
      <c r="A79" s="154" t="n">
        <v>76</v>
      </c>
      <c r="B79" s="155" t="inlineStr">
        <is>
          <t>2026-04-14</t>
        </is>
      </c>
      <c r="C79" s="156" t="inlineStr">
        <is>
          <t>v5.3</t>
        </is>
      </c>
      <c r="D79" s="157" t="inlineStr">
        <is>
          <t>1. Momentum   (RSI+MACD+SMA200)</t>
        </is>
      </c>
      <c r="E79" s="156" t="inlineStr">
        <is>
          <t>10/55</t>
        </is>
      </c>
      <c r="F79" s="158" t="n">
        <v>15</v>
      </c>
      <c r="G79" s="156" t="inlineStr">
        <is>
          <t>london_ny</t>
        </is>
      </c>
      <c r="H79" s="159" t="n">
        <v>574</v>
      </c>
      <c r="I79" s="160" t="n">
        <v>0.4111</v>
      </c>
      <c r="J79" s="161" t="n">
        <v>-0.625</v>
      </c>
      <c r="K79" s="162" t="n">
        <v>0.5634</v>
      </c>
      <c r="L79" s="163" t="n">
        <v>0.918</v>
      </c>
      <c r="M79" s="164" t="n">
        <v>105.73</v>
      </c>
      <c r="N79" s="165" t="n">
        <v>-44.2701</v>
      </c>
      <c r="O79" s="166" t="n">
        <v>-0.0766</v>
      </c>
      <c r="P79" s="167" t="n">
        <v>12.9</v>
      </c>
      <c r="Q79" s="157" t="inlineStr">
        <is>
          <t>NEGATIVO</t>
        </is>
      </c>
      <c r="R79" s="157" t="inlineStr">
        <is>
          <t>Auto v5.3 16:51</t>
        </is>
      </c>
    </row>
    <row r="80" ht="18" customHeight="1" s="140">
      <c r="A80" s="154" t="n">
        <v>77</v>
      </c>
      <c r="B80" s="155" t="inlineStr">
        <is>
          <t>2026-04-14</t>
        </is>
      </c>
      <c r="C80" s="156" t="inlineStr">
        <is>
          <t>v5.3</t>
        </is>
      </c>
      <c r="D80" s="157" t="inlineStr">
        <is>
          <t>2. Cruce EMA  (EMA+MACD+ADX)</t>
        </is>
      </c>
      <c r="E80" s="156" t="inlineStr">
        <is>
          <t>10/55</t>
        </is>
      </c>
      <c r="F80" s="158" t="n">
        <v>15</v>
      </c>
      <c r="G80" s="156" t="inlineStr">
        <is>
          <t>london_ny</t>
        </is>
      </c>
      <c r="H80" s="159" t="n">
        <v>125</v>
      </c>
      <c r="I80" s="160" t="n">
        <v>0.424</v>
      </c>
      <c r="J80" s="161" t="n">
        <v>-0.585</v>
      </c>
      <c r="K80" s="162" t="n">
        <v>0.2735</v>
      </c>
      <c r="L80" s="163" t="n">
        <v>0.925</v>
      </c>
      <c r="M80" s="164" t="n">
        <v>138.52</v>
      </c>
      <c r="N80" s="165" t="n">
        <v>-11.4838</v>
      </c>
      <c r="O80" s="166" t="n">
        <v>-0.0911</v>
      </c>
      <c r="P80" s="167" t="n">
        <v>2.8</v>
      </c>
      <c r="Q80" s="157" t="inlineStr">
        <is>
          <t>NEGATIVO</t>
        </is>
      </c>
      <c r="R80" s="157" t="inlineStr">
        <is>
          <t>Auto v5.3 16:51</t>
        </is>
      </c>
    </row>
    <row r="81" ht="18" customHeight="1" s="140">
      <c r="A81" s="186" t="n">
        <v>78</v>
      </c>
      <c r="B81" s="187" t="inlineStr">
        <is>
          <t>2026-04-14</t>
        </is>
      </c>
      <c r="C81" s="188" t="inlineStr">
        <is>
          <t>v5.3</t>
        </is>
      </c>
      <c r="D81" s="189" t="inlineStr">
        <is>
          <t>3. Pullback   (Retroceso EMA)</t>
        </is>
      </c>
      <c r="E81" s="188" t="inlineStr">
        <is>
          <t>10/55</t>
        </is>
      </c>
      <c r="F81" s="190" t="n">
        <v>15</v>
      </c>
      <c r="G81" s="188" t="inlineStr">
        <is>
          <t>london_ny</t>
        </is>
      </c>
      <c r="H81" s="191" t="n">
        <v>159</v>
      </c>
      <c r="I81" s="192" t="n">
        <v>0.5157</v>
      </c>
      <c r="J81" s="193" t="n">
        <v>3.124</v>
      </c>
      <c r="K81" s="194" t="n">
        <v>0.1145</v>
      </c>
      <c r="L81" s="195" t="n">
        <v>1.535</v>
      </c>
      <c r="M81" s="196" t="n">
        <v>258.07</v>
      </c>
      <c r="N81" s="197" t="n">
        <v>108.0744</v>
      </c>
      <c r="O81" s="198" t="n">
        <v>0.6807</v>
      </c>
      <c r="P81" s="199" t="n">
        <v>3.6</v>
      </c>
      <c r="Q81" s="189" t="inlineStr">
        <is>
          <t>BUENO</t>
        </is>
      </c>
      <c r="R81" s="189" t="inlineStr">
        <is>
          <t>Auto v5.3 16:51</t>
        </is>
      </c>
    </row>
    <row r="82" ht="18" customHeight="1" s="140">
      <c r="A82" s="154" t="n">
        <v>79</v>
      </c>
      <c r="B82" s="155" t="inlineStr">
        <is>
          <t>2026-04-14</t>
        </is>
      </c>
      <c r="C82" s="156" t="inlineStr">
        <is>
          <t>v5.3</t>
        </is>
      </c>
      <c r="D82" s="157" t="inlineStr">
        <is>
          <t>4. TODAS      (combinadas)</t>
        </is>
      </c>
      <c r="E82" s="156" t="inlineStr">
        <is>
          <t>10/55</t>
        </is>
      </c>
      <c r="F82" s="158" t="n">
        <v>15</v>
      </c>
      <c r="G82" s="156" t="inlineStr">
        <is>
          <t>london_ny</t>
        </is>
      </c>
      <c r="H82" s="159" t="n">
        <v>578</v>
      </c>
      <c r="I82" s="160" t="n">
        <v>0.41</v>
      </c>
      <c r="J82" s="161" t="n">
        <v>-0.67</v>
      </c>
      <c r="K82" s="162" t="n">
        <v>0.5705</v>
      </c>
      <c r="L82" s="163" t="n">
        <v>0.912</v>
      </c>
      <c r="M82" s="164" t="n">
        <v>102.75</v>
      </c>
      <c r="N82" s="165" t="n">
        <v>-47.2547</v>
      </c>
      <c r="O82" s="166" t="n">
        <v>-0.08119999999999999</v>
      </c>
      <c r="P82" s="167" t="n">
        <v>13</v>
      </c>
      <c r="Q82" s="157" t="inlineStr">
        <is>
          <t>NEGATIVO</t>
        </is>
      </c>
      <c r="R82" s="157" t="inlineStr">
        <is>
          <t>Auto v5.3 16:51</t>
        </is>
      </c>
    </row>
    <row r="83" ht="18" customHeight="1" s="140">
      <c r="A83" s="154" t="n">
        <v>80</v>
      </c>
      <c r="B83" s="155" t="inlineStr">
        <is>
          <t>2026-04-14</t>
        </is>
      </c>
      <c r="C83" s="156" t="inlineStr">
        <is>
          <t>v5.4</t>
        </is>
      </c>
      <c r="D83" s="157" t="inlineStr">
        <is>
          <t>1. Momentum   (RSI+MACD+SMA200)</t>
        </is>
      </c>
      <c r="E83" s="156" t="inlineStr">
        <is>
          <t>10/55</t>
        </is>
      </c>
      <c r="F83" s="158" t="n">
        <v>15</v>
      </c>
      <c r="G83" s="156" t="inlineStr">
        <is>
          <t>london_ny</t>
        </is>
      </c>
      <c r="H83" s="159" t="n">
        <v>575</v>
      </c>
      <c r="I83" s="160" t="n">
        <v>0.4087</v>
      </c>
      <c r="J83" s="161" t="n">
        <v>-0.701</v>
      </c>
      <c r="K83" s="162" t="n">
        <v>0.5634</v>
      </c>
      <c r="L83" s="163" t="n">
        <v>0.908</v>
      </c>
      <c r="M83" s="164" t="n">
        <v>101.72</v>
      </c>
      <c r="N83" s="165" t="n">
        <v>-48.2776</v>
      </c>
      <c r="O83" s="166" t="n">
        <v>-0.0834</v>
      </c>
      <c r="P83" s="167" t="n">
        <v>12.9</v>
      </c>
      <c r="Q83" s="157" t="inlineStr">
        <is>
          <t>NEGATIVO</t>
        </is>
      </c>
      <c r="R83" s="157" t="inlineStr">
        <is>
          <t>Auto v5.3 22:14</t>
        </is>
      </c>
    </row>
    <row r="84" ht="18" customHeight="1" s="140">
      <c r="A84" s="154" t="n">
        <v>81</v>
      </c>
      <c r="B84" s="155" t="inlineStr">
        <is>
          <t>2026-04-14</t>
        </is>
      </c>
      <c r="C84" s="156" t="inlineStr">
        <is>
          <t>v5.4</t>
        </is>
      </c>
      <c r="D84" s="157" t="inlineStr">
        <is>
          <t>2. Cruce EMA  (EMA+MACD+ADX)</t>
        </is>
      </c>
      <c r="E84" s="156" t="inlineStr">
        <is>
          <t>10/55</t>
        </is>
      </c>
      <c r="F84" s="158" t="n">
        <v>15</v>
      </c>
      <c r="G84" s="156" t="inlineStr">
        <is>
          <t>london_ny</t>
        </is>
      </c>
      <c r="H84" s="159" t="n">
        <v>127</v>
      </c>
      <c r="I84" s="160" t="n">
        <v>0.4331</v>
      </c>
      <c r="J84" s="161" t="n">
        <v>-0.28</v>
      </c>
      <c r="K84" s="162" t="n">
        <v>0.2735</v>
      </c>
      <c r="L84" s="163" t="n">
        <v>0.963</v>
      </c>
      <c r="M84" s="164" t="n">
        <v>144.24</v>
      </c>
      <c r="N84" s="165" t="n">
        <v>-5.7596</v>
      </c>
      <c r="O84" s="166" t="n">
        <v>-0.0446</v>
      </c>
      <c r="P84" s="167" t="n">
        <v>2.9</v>
      </c>
      <c r="Q84" s="157" t="inlineStr">
        <is>
          <t>NEGATIVO</t>
        </is>
      </c>
      <c r="R84" s="157" t="inlineStr">
        <is>
          <t>Auto v5.3 22:14</t>
        </is>
      </c>
    </row>
    <row r="85" ht="18" customHeight="1" s="140">
      <c r="A85" s="186" t="n">
        <v>82</v>
      </c>
      <c r="B85" s="187" t="inlineStr">
        <is>
          <t>2026-04-14</t>
        </is>
      </c>
      <c r="C85" s="188" t="inlineStr">
        <is>
          <t>v5.4</t>
        </is>
      </c>
      <c r="D85" s="189" t="inlineStr">
        <is>
          <t>3. Pullback   (Retroceso EMA)</t>
        </is>
      </c>
      <c r="E85" s="188" t="inlineStr">
        <is>
          <t>10/55</t>
        </is>
      </c>
      <c r="F85" s="190" t="n">
        <v>15</v>
      </c>
      <c r="G85" s="188" t="inlineStr">
        <is>
          <t>london_ny</t>
        </is>
      </c>
      <c r="H85" s="191" t="n">
        <v>163</v>
      </c>
      <c r="I85" s="192" t="n">
        <v>0.5153</v>
      </c>
      <c r="J85" s="193" t="n">
        <v>2.994</v>
      </c>
      <c r="K85" s="194" t="n">
        <v>0.1145</v>
      </c>
      <c r="L85" s="195" t="n">
        <v>1.509</v>
      </c>
      <c r="M85" s="196" t="n">
        <v>255.92</v>
      </c>
      <c r="N85" s="197" t="n">
        <v>105.9248</v>
      </c>
      <c r="O85" s="198" t="n">
        <v>0.6508</v>
      </c>
      <c r="P85" s="199" t="n">
        <v>3.7</v>
      </c>
      <c r="Q85" s="189" t="inlineStr">
        <is>
          <t>BUENO</t>
        </is>
      </c>
      <c r="R85" s="189" t="inlineStr">
        <is>
          <t>Auto v5.3 22:14</t>
        </is>
      </c>
    </row>
    <row r="86" ht="18" customHeight="1" s="140">
      <c r="A86" s="154" t="n">
        <v>83</v>
      </c>
      <c r="B86" s="155" t="inlineStr">
        <is>
          <t>2026-04-14</t>
        </is>
      </c>
      <c r="C86" s="156" t="inlineStr">
        <is>
          <t>v5.4</t>
        </is>
      </c>
      <c r="D86" s="157" t="inlineStr">
        <is>
          <t>4. TODAS      (combinadas)</t>
        </is>
      </c>
      <c r="E86" s="156" t="inlineStr">
        <is>
          <t>10/55</t>
        </is>
      </c>
      <c r="F86" s="158" t="n">
        <v>15</v>
      </c>
      <c r="G86" s="156" t="inlineStr">
        <is>
          <t>london_ny</t>
        </is>
      </c>
      <c r="H86" s="159" t="n">
        <v>579</v>
      </c>
      <c r="I86" s="160" t="n">
        <v>0.4076</v>
      </c>
      <c r="J86" s="161" t="n">
        <v>-0.746</v>
      </c>
      <c r="K86" s="162" t="n">
        <v>0.5705</v>
      </c>
      <c r="L86" s="163" t="n">
        <v>0.903</v>
      </c>
      <c r="M86" s="164" t="n">
        <v>98.84999999999999</v>
      </c>
      <c r="N86" s="165" t="n">
        <v>-51.1491</v>
      </c>
      <c r="O86" s="166" t="n">
        <v>-0.0878</v>
      </c>
      <c r="P86" s="167" t="n">
        <v>13</v>
      </c>
      <c r="Q86" s="157" t="inlineStr">
        <is>
          <t>NEGATIVO</t>
        </is>
      </c>
      <c r="R86" s="157" t="inlineStr">
        <is>
          <t>Auto v5.3 22:14</t>
        </is>
      </c>
    </row>
    <row r="87" ht="18" customHeight="1" s="140">
      <c r="A87" s="154" t="n">
        <v>84</v>
      </c>
      <c r="B87" s="155" t="inlineStr">
        <is>
          <t>2026-04-14</t>
        </is>
      </c>
      <c r="C87" s="156" t="inlineStr">
        <is>
          <t>v5.4</t>
        </is>
      </c>
      <c r="D87" s="157" t="inlineStr">
        <is>
          <t>1. Momentum   (RSI+MACD+SMA200)</t>
        </is>
      </c>
      <c r="E87" s="156" t="inlineStr">
        <is>
          <t>10/55</t>
        </is>
      </c>
      <c r="F87" s="158" t="n">
        <v>15</v>
      </c>
      <c r="G87" s="156" t="inlineStr">
        <is>
          <t>london_ny</t>
        </is>
      </c>
      <c r="H87" s="159" t="n">
        <v>575</v>
      </c>
      <c r="I87" s="160" t="n">
        <v>0.4087</v>
      </c>
      <c r="J87" s="161" t="n">
        <v>-0.29</v>
      </c>
      <c r="K87" s="162" t="n">
        <v>0.5634</v>
      </c>
      <c r="L87" s="163" t="n">
        <v>0.908</v>
      </c>
      <c r="M87" s="164" t="n">
        <v>101.72</v>
      </c>
      <c r="N87" s="165" t="n">
        <v>-48.2776</v>
      </c>
      <c r="O87" s="166" t="n">
        <v>-0.0834</v>
      </c>
      <c r="P87" s="167" t="n">
        <v>12.9</v>
      </c>
      <c r="Q87" s="157" t="inlineStr">
        <is>
          <t>NEGATIVO</t>
        </is>
      </c>
      <c r="R87" s="157" t="inlineStr">
        <is>
          <t>Auto v5.3 22:28</t>
        </is>
      </c>
    </row>
    <row r="88" ht="18" customHeight="1" s="140">
      <c r="A88" s="154" t="n">
        <v>85</v>
      </c>
      <c r="B88" s="155" t="inlineStr">
        <is>
          <t>2026-04-14</t>
        </is>
      </c>
      <c r="C88" s="156" t="inlineStr">
        <is>
          <t>v5.4</t>
        </is>
      </c>
      <c r="D88" s="157" t="inlineStr">
        <is>
          <t>2. Cruce EMA  (EMA+MACD+ADX)</t>
        </is>
      </c>
      <c r="E88" s="156" t="inlineStr">
        <is>
          <t>10/55</t>
        </is>
      </c>
      <c r="F88" s="158" t="n">
        <v>15</v>
      </c>
      <c r="G88" s="156" t="inlineStr">
        <is>
          <t>london_ny</t>
        </is>
      </c>
      <c r="H88" s="159" t="n">
        <v>127</v>
      </c>
      <c r="I88" s="160" t="n">
        <v>0.4331</v>
      </c>
      <c r="J88" s="161" t="n">
        <v>-0.039</v>
      </c>
      <c r="K88" s="162" t="n">
        <v>0.2735</v>
      </c>
      <c r="L88" s="163" t="n">
        <v>0.963</v>
      </c>
      <c r="M88" s="164" t="n">
        <v>144.24</v>
      </c>
      <c r="N88" s="165" t="n">
        <v>-5.7596</v>
      </c>
      <c r="O88" s="166" t="n">
        <v>-0.0446</v>
      </c>
      <c r="P88" s="167" t="n">
        <v>2.9</v>
      </c>
      <c r="Q88" s="157" t="inlineStr">
        <is>
          <t>NEGATIVO</t>
        </is>
      </c>
      <c r="R88" s="157" t="inlineStr">
        <is>
          <t>Auto v5.3 22:28</t>
        </is>
      </c>
    </row>
    <row r="89" ht="18" customHeight="1" s="140">
      <c r="A89" s="186" t="n">
        <v>86</v>
      </c>
      <c r="B89" s="187" t="inlineStr">
        <is>
          <t>2026-04-14</t>
        </is>
      </c>
      <c r="C89" s="188" t="inlineStr">
        <is>
          <t>v5.4</t>
        </is>
      </c>
      <c r="D89" s="189" t="inlineStr">
        <is>
          <t>3. Pullback   (Retroceso EMA)</t>
        </is>
      </c>
      <c r="E89" s="188" t="inlineStr">
        <is>
          <t>10/55</t>
        </is>
      </c>
      <c r="F89" s="190" t="n">
        <v>15</v>
      </c>
      <c r="G89" s="188" t="inlineStr">
        <is>
          <t>london_ny</t>
        </is>
      </c>
      <c r="H89" s="191" t="n">
        <v>163</v>
      </c>
      <c r="I89" s="192" t="n">
        <v>0.5153</v>
      </c>
      <c r="J89" s="219" t="n">
        <v>1.019</v>
      </c>
      <c r="K89" s="194" t="n">
        <v>0.1145</v>
      </c>
      <c r="L89" s="195" t="n">
        <v>1.509</v>
      </c>
      <c r="M89" s="196" t="n">
        <v>255.92</v>
      </c>
      <c r="N89" s="197" t="n">
        <v>105.9248</v>
      </c>
      <c r="O89" s="198" t="n">
        <v>0.6508</v>
      </c>
      <c r="P89" s="199" t="n">
        <v>3.7</v>
      </c>
      <c r="Q89" s="189" t="inlineStr">
        <is>
          <t>BUENO</t>
        </is>
      </c>
      <c r="R89" s="189" t="inlineStr">
        <is>
          <t>Auto v5.3 22:28</t>
        </is>
      </c>
    </row>
    <row r="90" ht="18" customHeight="1" s="140">
      <c r="A90" s="154" t="n">
        <v>87</v>
      </c>
      <c r="B90" s="155" t="inlineStr">
        <is>
          <t>2026-04-14</t>
        </is>
      </c>
      <c r="C90" s="156" t="inlineStr">
        <is>
          <t>v5.4</t>
        </is>
      </c>
      <c r="D90" s="157" t="inlineStr">
        <is>
          <t>4. TODAS      (combinadas)</t>
        </is>
      </c>
      <c r="E90" s="156" t="inlineStr">
        <is>
          <t>10/55</t>
        </is>
      </c>
      <c r="F90" s="158" t="n">
        <v>15</v>
      </c>
      <c r="G90" s="156" t="inlineStr">
        <is>
          <t>london_ny</t>
        </is>
      </c>
      <c r="H90" s="159" t="n">
        <v>579</v>
      </c>
      <c r="I90" s="160" t="n">
        <v>0.4076</v>
      </c>
      <c r="J90" s="161" t="n">
        <v>-0.318</v>
      </c>
      <c r="K90" s="162" t="n">
        <v>0.5705</v>
      </c>
      <c r="L90" s="163" t="n">
        <v>0.903</v>
      </c>
      <c r="M90" s="164" t="n">
        <v>98.84999999999999</v>
      </c>
      <c r="N90" s="165" t="n">
        <v>-51.1491</v>
      </c>
      <c r="O90" s="166" t="n">
        <v>-0.0878</v>
      </c>
      <c r="P90" s="167" t="n">
        <v>13</v>
      </c>
      <c r="Q90" s="157" t="inlineStr">
        <is>
          <t>NEGATIVO</t>
        </is>
      </c>
      <c r="R90" s="157" t="inlineStr">
        <is>
          <t>Auto v5.3 22:28</t>
        </is>
      </c>
    </row>
    <row r="91" ht="18" customHeight="1" s="140">
      <c r="A91" s="154" t="n">
        <v>88</v>
      </c>
      <c r="B91" s="155" t="inlineStr">
        <is>
          <t>2026-04-14</t>
        </is>
      </c>
      <c r="C91" s="156" t="inlineStr">
        <is>
          <t>v5.4</t>
        </is>
      </c>
      <c r="D91" s="157" t="inlineStr">
        <is>
          <t>1. Momentum   (RSI+MACD+SMA200)</t>
        </is>
      </c>
      <c r="E91" s="156" t="inlineStr">
        <is>
          <t>10/55</t>
        </is>
      </c>
      <c r="F91" s="158" t="n">
        <v>15</v>
      </c>
      <c r="G91" s="156" t="inlineStr">
        <is>
          <t>london_ny</t>
        </is>
      </c>
      <c r="H91" s="159" t="n">
        <v>575</v>
      </c>
      <c r="I91" s="160" t="n">
        <v>0.4087</v>
      </c>
      <c r="J91" s="161" t="n">
        <v>-0.29</v>
      </c>
      <c r="K91" s="162" t="n">
        <v>0.5634</v>
      </c>
      <c r="L91" s="163" t="n">
        <v>0.908</v>
      </c>
      <c r="M91" s="164" t="n">
        <v>101.72</v>
      </c>
      <c r="N91" s="165" t="n">
        <v>-48.2776</v>
      </c>
      <c r="O91" s="166" t="n">
        <v>-0.0834</v>
      </c>
      <c r="P91" s="167" t="n">
        <v>12.9</v>
      </c>
      <c r="Q91" s="157" t="inlineStr">
        <is>
          <t>NEGATIVO</t>
        </is>
      </c>
      <c r="R91" s="157" t="inlineStr">
        <is>
          <t>Auto v5.3 22:43</t>
        </is>
      </c>
    </row>
    <row r="92" ht="18" customHeight="1" s="140">
      <c r="A92" s="154" t="n">
        <v>89</v>
      </c>
      <c r="B92" s="155" t="inlineStr">
        <is>
          <t>2026-04-14</t>
        </is>
      </c>
      <c r="C92" s="156" t="inlineStr">
        <is>
          <t>v5.4</t>
        </is>
      </c>
      <c r="D92" s="157" t="inlineStr">
        <is>
          <t>2. Cruce EMA  (EMA+MACD+ADX)</t>
        </is>
      </c>
      <c r="E92" s="156" t="inlineStr">
        <is>
          <t>10/55</t>
        </is>
      </c>
      <c r="F92" s="158" t="n">
        <v>15</v>
      </c>
      <c r="G92" s="156" t="inlineStr">
        <is>
          <t>london_ny</t>
        </is>
      </c>
      <c r="H92" s="159" t="n">
        <v>127</v>
      </c>
      <c r="I92" s="160" t="n">
        <v>0.4331</v>
      </c>
      <c r="J92" s="161" t="n">
        <v>-0.039</v>
      </c>
      <c r="K92" s="162" t="n">
        <v>0.2735</v>
      </c>
      <c r="L92" s="163" t="n">
        <v>0.963</v>
      </c>
      <c r="M92" s="164" t="n">
        <v>144.24</v>
      </c>
      <c r="N92" s="165" t="n">
        <v>-5.7596</v>
      </c>
      <c r="O92" s="166" t="n">
        <v>-0.0446</v>
      </c>
      <c r="P92" s="167" t="n">
        <v>2.9</v>
      </c>
      <c r="Q92" s="157" t="inlineStr">
        <is>
          <t>NEGATIVO</t>
        </is>
      </c>
      <c r="R92" s="157" t="inlineStr">
        <is>
          <t>Auto v5.3 22:43</t>
        </is>
      </c>
    </row>
    <row r="93" ht="18" customHeight="1" s="140">
      <c r="A93" s="186" t="n">
        <v>90</v>
      </c>
      <c r="B93" s="187" t="inlineStr">
        <is>
          <t>2026-04-14</t>
        </is>
      </c>
      <c r="C93" s="188" t="inlineStr">
        <is>
          <t>v5.4</t>
        </is>
      </c>
      <c r="D93" s="189" t="inlineStr">
        <is>
          <t>3. Pullback   (Retroceso EMA)</t>
        </is>
      </c>
      <c r="E93" s="188" t="inlineStr">
        <is>
          <t>10/55</t>
        </is>
      </c>
      <c r="F93" s="190" t="n">
        <v>15</v>
      </c>
      <c r="G93" s="188" t="inlineStr">
        <is>
          <t>london_ny</t>
        </is>
      </c>
      <c r="H93" s="191" t="n">
        <v>163</v>
      </c>
      <c r="I93" s="192" t="n">
        <v>0.5153</v>
      </c>
      <c r="J93" s="219" t="n">
        <v>1.019</v>
      </c>
      <c r="K93" s="194" t="n">
        <v>0.1145</v>
      </c>
      <c r="L93" s="195" t="n">
        <v>1.509</v>
      </c>
      <c r="M93" s="196" t="n">
        <v>255.92</v>
      </c>
      <c r="N93" s="197" t="n">
        <v>105.9248</v>
      </c>
      <c r="O93" s="198" t="n">
        <v>0.6508</v>
      </c>
      <c r="P93" s="199" t="n">
        <v>3.7</v>
      </c>
      <c r="Q93" s="189" t="inlineStr">
        <is>
          <t>BUENO</t>
        </is>
      </c>
      <c r="R93" s="189" t="inlineStr">
        <is>
          <t>Auto v5.3 22:43</t>
        </is>
      </c>
    </row>
    <row r="94" ht="18" customHeight="1" s="140">
      <c r="A94" s="154" t="n">
        <v>91</v>
      </c>
      <c r="B94" s="155" t="inlineStr">
        <is>
          <t>2026-04-14</t>
        </is>
      </c>
      <c r="C94" s="156" t="inlineStr">
        <is>
          <t>v5.4</t>
        </is>
      </c>
      <c r="D94" s="157" t="inlineStr">
        <is>
          <t>4. TODAS      (combinadas)</t>
        </is>
      </c>
      <c r="E94" s="156" t="inlineStr">
        <is>
          <t>10/55</t>
        </is>
      </c>
      <c r="F94" s="158" t="n">
        <v>15</v>
      </c>
      <c r="G94" s="156" t="inlineStr">
        <is>
          <t>london_ny</t>
        </is>
      </c>
      <c r="H94" s="159" t="n">
        <v>579</v>
      </c>
      <c r="I94" s="160" t="n">
        <v>0.4076</v>
      </c>
      <c r="J94" s="161" t="n">
        <v>-0.318</v>
      </c>
      <c r="K94" s="162" t="n">
        <v>0.5705</v>
      </c>
      <c r="L94" s="163" t="n">
        <v>0.903</v>
      </c>
      <c r="M94" s="164" t="n">
        <v>98.84999999999999</v>
      </c>
      <c r="N94" s="165" t="n">
        <v>-51.1491</v>
      </c>
      <c r="O94" s="166" t="n">
        <v>-0.0878</v>
      </c>
      <c r="P94" s="167" t="n">
        <v>13</v>
      </c>
      <c r="Q94" s="157" t="inlineStr">
        <is>
          <t>NEGATIVO</t>
        </is>
      </c>
      <c r="R94" s="157" t="inlineStr">
        <is>
          <t>Auto v5.3 22:43</t>
        </is>
      </c>
    </row>
    <row r="95" ht="18" customHeight="1" s="140">
      <c r="A95" s="154" t="n">
        <v>92</v>
      </c>
      <c r="B95" s="155" t="inlineStr">
        <is>
          <t>2026-04-14</t>
        </is>
      </c>
      <c r="C95" s="156" t="inlineStr">
        <is>
          <t>v5.4</t>
        </is>
      </c>
      <c r="D95" s="157" t="inlineStr">
        <is>
          <t>1. Momentum   (RSI+MACD+SMA200)</t>
        </is>
      </c>
      <c r="E95" s="156" t="inlineStr">
        <is>
          <t>10/55</t>
        </is>
      </c>
      <c r="F95" s="158" t="n">
        <v>15</v>
      </c>
      <c r="G95" s="156" t="inlineStr">
        <is>
          <t>london_ny</t>
        </is>
      </c>
      <c r="H95" s="159" t="n">
        <v>575</v>
      </c>
      <c r="I95" s="160" t="n">
        <v>0.4087</v>
      </c>
      <c r="J95" s="161" t="n">
        <v>-0.29</v>
      </c>
      <c r="K95" s="162" t="n">
        <v>0.5634</v>
      </c>
      <c r="L95" s="163" t="n">
        <v>0.908</v>
      </c>
      <c r="M95" s="164" t="n">
        <v>101.72</v>
      </c>
      <c r="N95" s="165" t="n">
        <v>-48.2776</v>
      </c>
      <c r="O95" s="166" t="n">
        <v>-0.0834</v>
      </c>
      <c r="P95" s="167" t="n">
        <v>12.9</v>
      </c>
      <c r="Q95" s="157" t="inlineStr">
        <is>
          <t>NEGATIVO</t>
        </is>
      </c>
      <c r="R95" s="157" t="inlineStr">
        <is>
          <t>Auto v5.3 22:53</t>
        </is>
      </c>
    </row>
    <row r="96" ht="18" customHeight="1" s="140">
      <c r="A96" s="154" t="n">
        <v>93</v>
      </c>
      <c r="B96" s="155" t="inlineStr">
        <is>
          <t>2026-04-14</t>
        </is>
      </c>
      <c r="C96" s="156" t="inlineStr">
        <is>
          <t>v5.4</t>
        </is>
      </c>
      <c r="D96" s="157" t="inlineStr">
        <is>
          <t>2. Cruce EMA  (EMA+MACD+ADX)</t>
        </is>
      </c>
      <c r="E96" s="156" t="inlineStr">
        <is>
          <t>10/55</t>
        </is>
      </c>
      <c r="F96" s="158" t="n">
        <v>15</v>
      </c>
      <c r="G96" s="156" t="inlineStr">
        <is>
          <t>london_ny</t>
        </is>
      </c>
      <c r="H96" s="159" t="n">
        <v>127</v>
      </c>
      <c r="I96" s="160" t="n">
        <v>0.4331</v>
      </c>
      <c r="J96" s="161" t="n">
        <v>-0.039</v>
      </c>
      <c r="K96" s="162" t="n">
        <v>0.2735</v>
      </c>
      <c r="L96" s="163" t="n">
        <v>0.963</v>
      </c>
      <c r="M96" s="164" t="n">
        <v>144.24</v>
      </c>
      <c r="N96" s="165" t="n">
        <v>-5.7596</v>
      </c>
      <c r="O96" s="166" t="n">
        <v>-0.0446</v>
      </c>
      <c r="P96" s="167" t="n">
        <v>2.9</v>
      </c>
      <c r="Q96" s="157" t="inlineStr">
        <is>
          <t>NEGATIVO</t>
        </is>
      </c>
      <c r="R96" s="157" t="inlineStr">
        <is>
          <t>Auto v5.3 22:53</t>
        </is>
      </c>
    </row>
    <row r="97" ht="18" customHeight="1" s="140">
      <c r="A97" s="186" t="n">
        <v>94</v>
      </c>
      <c r="B97" s="187" t="inlineStr">
        <is>
          <t>2026-04-14</t>
        </is>
      </c>
      <c r="C97" s="188" t="inlineStr">
        <is>
          <t>v5.4</t>
        </is>
      </c>
      <c r="D97" s="189" t="inlineStr">
        <is>
          <t>3. Pullback   (Retroceso EMA)</t>
        </is>
      </c>
      <c r="E97" s="188" t="inlineStr">
        <is>
          <t>10/55</t>
        </is>
      </c>
      <c r="F97" s="190" t="n">
        <v>15</v>
      </c>
      <c r="G97" s="188" t="inlineStr">
        <is>
          <t>london_ny</t>
        </is>
      </c>
      <c r="H97" s="191" t="n">
        <v>163</v>
      </c>
      <c r="I97" s="192" t="n">
        <v>0.5153</v>
      </c>
      <c r="J97" s="219" t="n">
        <v>1.019</v>
      </c>
      <c r="K97" s="194" t="n">
        <v>0.1145</v>
      </c>
      <c r="L97" s="195" t="n">
        <v>1.509</v>
      </c>
      <c r="M97" s="196" t="n">
        <v>255.92</v>
      </c>
      <c r="N97" s="197" t="n">
        <v>105.9248</v>
      </c>
      <c r="O97" s="198" t="n">
        <v>0.6508</v>
      </c>
      <c r="P97" s="199" t="n">
        <v>3.7</v>
      </c>
      <c r="Q97" s="189" t="inlineStr">
        <is>
          <t>BUENO</t>
        </is>
      </c>
      <c r="R97" s="189" t="inlineStr">
        <is>
          <t>Auto v5.3 22:53</t>
        </is>
      </c>
    </row>
    <row r="98" ht="18" customHeight="1" s="140">
      <c r="A98" s="154" t="n">
        <v>95</v>
      </c>
      <c r="B98" s="155" t="inlineStr">
        <is>
          <t>2026-04-14</t>
        </is>
      </c>
      <c r="C98" s="156" t="inlineStr">
        <is>
          <t>v5.4</t>
        </is>
      </c>
      <c r="D98" s="157" t="inlineStr">
        <is>
          <t>4. TODAS      (combinadas)</t>
        </is>
      </c>
      <c r="E98" s="156" t="inlineStr">
        <is>
          <t>10/55</t>
        </is>
      </c>
      <c r="F98" s="158" t="n">
        <v>15</v>
      </c>
      <c r="G98" s="156" t="inlineStr">
        <is>
          <t>london_ny</t>
        </is>
      </c>
      <c r="H98" s="159" t="n">
        <v>579</v>
      </c>
      <c r="I98" s="160" t="n">
        <v>0.4076</v>
      </c>
      <c r="J98" s="161" t="n">
        <v>-0.318</v>
      </c>
      <c r="K98" s="162" t="n">
        <v>0.5705</v>
      </c>
      <c r="L98" s="163" t="n">
        <v>0.903</v>
      </c>
      <c r="M98" s="164" t="n">
        <v>98.84999999999999</v>
      </c>
      <c r="N98" s="165" t="n">
        <v>-51.1491</v>
      </c>
      <c r="O98" s="166" t="n">
        <v>-0.0878</v>
      </c>
      <c r="P98" s="167" t="n">
        <v>13</v>
      </c>
      <c r="Q98" s="157" t="inlineStr">
        <is>
          <t>NEGATIVO</t>
        </is>
      </c>
      <c r="R98" s="157" t="inlineStr">
        <is>
          <t>Auto v5.3 22:53</t>
        </is>
      </c>
    </row>
  </sheetData>
  <mergeCells count="3">
    <mergeCell ref="A18:C18"/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topLeftCell="A9" workbookViewId="0">
      <selection activeCell="A19" sqref="A19:XFD19"/>
    </sheetView>
  </sheetViews>
  <sheetFormatPr baseColWidth="10" defaultColWidth="8.7265625" defaultRowHeight="14.5"/>
  <cols>
    <col width="10" customWidth="1" style="140" min="1" max="1"/>
    <col width="28" customWidth="1" style="140" min="2" max="2"/>
    <col width="10" customWidth="1" style="140" min="3" max="3"/>
    <col width="12" customWidth="1" style="140" min="4" max="5"/>
    <col width="14" customWidth="1" style="140" min="6" max="6"/>
    <col width="16" customWidth="1" style="140" min="7" max="7"/>
  </cols>
  <sheetData>
    <row r="1" ht="30" customHeight="1" s="140">
      <c r="A1" s="141" t="inlineStr">
        <is>
          <t>📈  DASHBOARD DE MÉTRICAS — Evolución del Sistema</t>
        </is>
      </c>
    </row>
    <row r="3">
      <c r="A3" s="1" t="inlineStr">
        <is>
          <t>Métrica</t>
        </is>
      </c>
      <c r="B3" s="1" t="inlineStr">
        <is>
          <t>Mejor</t>
        </is>
      </c>
      <c r="C3" s="1" t="inlineStr">
        <is>
          <t>Última</t>
        </is>
      </c>
      <c r="D3" s="1" t="inlineStr">
        <is>
          <t>Objetivo</t>
        </is>
      </c>
      <c r="E3" s="1" t="inlineStr">
        <is>
          <t>Estado</t>
        </is>
      </c>
    </row>
    <row r="4" ht="20" customHeight="1" s="140">
      <c r="A4" s="151" t="inlineStr">
        <is>
          <t>Win Rate</t>
        </is>
      </c>
      <c r="B4" s="41">
        <f>MAX('Registro de Pruebas'!I4:I100)</f>
        <v/>
      </c>
      <c r="C4" s="42">
        <f>'Registro de Pruebas'!I11</f>
        <v/>
      </c>
      <c r="D4" s="43" t="inlineStr">
        <is>
          <t>55%</t>
        </is>
      </c>
      <c r="E4" s="44">
        <f>IF(C4&gt;=0.55,"✅ OK","⚠️ Mejorar")</f>
        <v/>
      </c>
    </row>
    <row r="5" ht="20" customHeight="1" s="140">
      <c r="A5" s="150" t="inlineStr">
        <is>
          <t>Sharpe Ratio</t>
        </is>
      </c>
      <c r="B5" s="46">
        <f>MAX('Registro de Pruebas'!J4:J100)</f>
        <v/>
      </c>
      <c r="C5" s="47">
        <f>'Registro de Pruebas'!J11</f>
        <v/>
      </c>
      <c r="D5" s="43" t="inlineStr">
        <is>
          <t>&gt;1.0</t>
        </is>
      </c>
      <c r="E5" s="48">
        <f>IF(C5&gt;=1,"✅ OK","⚠️ Mejorar")</f>
        <v/>
      </c>
    </row>
    <row r="6" ht="20" customHeight="1" s="140">
      <c r="A6" s="151" t="inlineStr">
        <is>
          <t>Max Drawdown</t>
        </is>
      </c>
      <c r="B6" s="49">
        <f>MIN('Registro de Pruebas'!K4:K100)</f>
        <v/>
      </c>
      <c r="C6" s="50">
        <f>'Registro de Pruebas'!K11</f>
        <v/>
      </c>
      <c r="D6" s="43" t="inlineStr">
        <is>
          <t>&lt;10%</t>
        </is>
      </c>
      <c r="E6" s="44">
        <f>IF(C6&lt;=0.1,"✅ OK","⚠️ Alto")</f>
        <v/>
      </c>
    </row>
    <row r="7" ht="20" customHeight="1" s="140">
      <c r="A7" s="150" t="inlineStr">
        <is>
          <t>Profit Factor</t>
        </is>
      </c>
      <c r="B7" s="46">
        <f>MAX('Registro de Pruebas'!L4:L100)</f>
        <v/>
      </c>
      <c r="C7" s="47">
        <f>'Registro de Pruebas'!L11</f>
        <v/>
      </c>
      <c r="D7" s="43" t="inlineStr">
        <is>
          <t>&gt;1.5</t>
        </is>
      </c>
      <c r="E7" s="48">
        <f>IF(C7&gt;=1.5,"✅ OK","⚠️ Mejorar")</f>
        <v/>
      </c>
    </row>
    <row r="8" ht="20" customHeight="1" s="140">
      <c r="A8" s="151" t="inlineStr">
        <is>
          <t>P&amp;L Neto $</t>
        </is>
      </c>
      <c r="B8" s="51">
        <f>MAX('Registro de Pruebas'!N4:N100)</f>
        <v/>
      </c>
      <c r="C8" s="52">
        <f>'Registro de Pruebas'!N11</f>
        <v/>
      </c>
      <c r="D8" s="43" t="inlineStr">
        <is>
          <t>&gt;$0</t>
        </is>
      </c>
      <c r="E8" s="44">
        <f>IF(C8&gt;0,"✅ OK","❌ Negativo")</f>
        <v/>
      </c>
    </row>
    <row r="9" ht="20" customHeight="1" s="140">
      <c r="A9" s="150" t="inlineStr">
        <is>
          <t>Trades/mes</t>
        </is>
      </c>
      <c r="B9" s="53">
        <f>MAX('Registro de Pruebas'!P4:P100)</f>
        <v/>
      </c>
      <c r="C9" s="54">
        <f>'Registro de Pruebas'!P11</f>
        <v/>
      </c>
      <c r="D9" s="43" t="inlineStr">
        <is>
          <t>6-8</t>
        </is>
      </c>
      <c r="E9" s="48">
        <f>IF(AND(C9&gt;=6,C9&lt;=8),"✅ OK","⚠️ Ajustar")</f>
        <v/>
      </c>
    </row>
    <row r="10" ht="20" customHeight="1" s="140">
      <c r="A10" s="151" t="inlineStr">
        <is>
          <t>Capital Final</t>
        </is>
      </c>
      <c r="B10" s="51">
        <f>MAX('Registro de Pruebas'!M4:M100)</f>
        <v/>
      </c>
      <c r="C10" s="52">
        <f>'Registro de Pruebas'!M11</f>
        <v/>
      </c>
      <c r="D10" s="43" t="inlineStr">
        <is>
          <t>&gt;$160</t>
        </is>
      </c>
      <c r="E10" s="44">
        <f>IF(C10&gt;160,"✅ OK","⚠️ Mejorar")</f>
        <v/>
      </c>
    </row>
    <row r="13" ht="22" customHeight="1" s="140">
      <c r="A13" s="142" t="inlineStr">
        <is>
          <t>EVOLUCIÓN POR VERSIÓN</t>
        </is>
      </c>
    </row>
    <row r="14">
      <c r="A14" s="55" t="inlineStr">
        <is>
          <t>Versión</t>
        </is>
      </c>
      <c r="B14" s="55" t="inlineStr">
        <is>
          <t>Estrategia</t>
        </is>
      </c>
      <c r="C14" s="55" t="inlineStr">
        <is>
          <t>Trades</t>
        </is>
      </c>
      <c r="D14" s="55" t="inlineStr">
        <is>
          <t>Win Rate</t>
        </is>
      </c>
      <c r="E14" s="55" t="inlineStr">
        <is>
          <t>Sharpe</t>
        </is>
      </c>
      <c r="F14" s="55" t="inlineStr">
        <is>
          <t>P&amp;L $</t>
        </is>
      </c>
      <c r="G14" s="55" t="inlineStr">
        <is>
          <t>Estado</t>
        </is>
      </c>
    </row>
    <row r="15" ht="18" customHeight="1" s="140">
      <c r="A15" s="2" t="inlineStr">
        <is>
          <t>v1.0</t>
        </is>
      </c>
      <c r="B15" s="2" t="inlineStr">
        <is>
          <t>EMA Base (sintético)</t>
        </is>
      </c>
      <c r="C15" s="2" t="n">
        <v>43</v>
      </c>
      <c r="D15" s="2" t="inlineStr">
        <is>
          <t>20.9%</t>
        </is>
      </c>
      <c r="E15" s="2" t="n">
        <v>-4.88</v>
      </c>
      <c r="F15" s="11" t="n">
        <v>-22.19</v>
      </c>
      <c r="G15" s="2" t="inlineStr">
        <is>
          <t>❌</t>
        </is>
      </c>
    </row>
    <row r="16" ht="18" customHeight="1" s="140">
      <c r="A16" s="26" t="inlineStr">
        <is>
          <t>v1.1</t>
        </is>
      </c>
      <c r="B16" s="26" t="inlineStr">
        <is>
          <t>H4 Solo (MT5 real)</t>
        </is>
      </c>
      <c r="C16" s="26" t="n">
        <v>53</v>
      </c>
      <c r="D16" s="26" t="inlineStr">
        <is>
          <t>35.9%</t>
        </is>
      </c>
      <c r="E16" s="26" t="n">
        <v>0.75</v>
      </c>
      <c r="F16" s="34" t="n">
        <v>5.27</v>
      </c>
      <c r="G16" s="26" t="inlineStr">
        <is>
          <t>⚠️</t>
        </is>
      </c>
    </row>
    <row r="17" ht="18" customHeight="1" s="140">
      <c r="A17" s="14" t="inlineStr">
        <is>
          <t>v1.2</t>
        </is>
      </c>
      <c r="B17" s="14" t="inlineStr">
        <is>
          <t>H4 + Sesión London_NY</t>
        </is>
      </c>
      <c r="C17" s="14" t="n">
        <v>45</v>
      </c>
      <c r="D17" s="14" t="inlineStr">
        <is>
          <t>37.8%</t>
        </is>
      </c>
      <c r="E17" s="14" t="n">
        <v>1.36</v>
      </c>
      <c r="F17" s="23" t="n">
        <v>8.52</v>
      </c>
      <c r="G17" s="14" t="inlineStr">
        <is>
          <t>✅</t>
        </is>
      </c>
    </row>
    <row r="18" ht="18" customHeight="1" s="140">
      <c r="A18" s="26" t="inlineStr">
        <is>
          <t>v2.0</t>
        </is>
      </c>
      <c r="B18" s="26" t="inlineStr">
        <is>
          <t>H4 + M15 (4 trades)</t>
        </is>
      </c>
      <c r="C18" s="26" t="n">
        <v>4</v>
      </c>
      <c r="D18" s="26" t="inlineStr">
        <is>
          <t>50.0%</t>
        </is>
      </c>
      <c r="E18" s="26" t="n">
        <v>5.19</v>
      </c>
      <c r="F18" s="34" t="n">
        <v>2.95</v>
      </c>
      <c r="G18" s="26" t="inlineStr">
        <is>
          <t>⚠️</t>
        </is>
      </c>
    </row>
    <row r="19" ht="18" customHeight="1" s="140">
      <c r="A19" s="14" t="inlineStr">
        <is>
          <t>v2.1</t>
        </is>
      </c>
      <c r="B19" s="14" t="inlineStr">
        <is>
          <t>ADX20 + Trailing</t>
        </is>
      </c>
      <c r="C19" s="14" t="n">
        <v>30</v>
      </c>
      <c r="D19" s="14" t="inlineStr">
        <is>
          <t>40.0%</t>
        </is>
      </c>
      <c r="E19" s="14" t="n">
        <v>2.07</v>
      </c>
      <c r="F19" s="23" t="n">
        <v>8.75</v>
      </c>
      <c r="G19" s="14" t="inlineStr">
        <is>
          <t>✅</t>
        </is>
      </c>
    </row>
    <row r="20" ht="18" customHeight="1" s="140">
      <c r="A20" s="26" t="inlineStr">
        <is>
          <t>v3.0</t>
        </is>
      </c>
      <c r="B20" s="26" t="inlineStr">
        <is>
          <t>Cruce + Pullback</t>
        </is>
      </c>
      <c r="C20" s="26" t="n">
        <v>26</v>
      </c>
      <c r="D20" s="26" t="inlineStr">
        <is>
          <t>61.5%</t>
        </is>
      </c>
      <c r="E20" s="26" t="n">
        <v>1.57</v>
      </c>
      <c r="F20" s="34" t="n">
        <v>3.43</v>
      </c>
      <c r="G20" s="26" t="inlineStr">
        <is>
          <t>⚠️</t>
        </is>
      </c>
    </row>
    <row r="21" ht="18" customHeight="1" s="140">
      <c r="A21" s="2" t="inlineStr">
        <is>
          <t>v4.0</t>
        </is>
      </c>
      <c r="B21" s="2" t="inlineStr">
        <is>
          <t>7 Indicadores (en progreso)</t>
        </is>
      </c>
      <c r="C21" s="2" t="n">
        <v>52</v>
      </c>
      <c r="D21" s="2" t="inlineStr">
        <is>
          <t>53.9%</t>
        </is>
      </c>
      <c r="E21" s="2" t="n">
        <v>-1.68</v>
      </c>
      <c r="F21" s="11" t="n">
        <v>-6.92</v>
      </c>
      <c r="G21" s="2" t="inlineStr">
        <is>
          <t>❌</t>
        </is>
      </c>
    </row>
  </sheetData>
  <mergeCells count="2">
    <mergeCell ref="A13:G1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topLeftCell="A26" workbookViewId="0">
      <selection activeCell="A1" sqref="A1:F1"/>
    </sheetView>
  </sheetViews>
  <sheetFormatPr baseColWidth="10" defaultColWidth="8.7265625" defaultRowHeight="14.5"/>
  <cols>
    <col width="28" customWidth="1" style="140" min="1" max="1"/>
    <col width="14" customWidth="1" style="140" min="2" max="2"/>
    <col width="18" customWidth="1" style="140" min="3" max="3"/>
    <col width="48" customWidth="1" style="140" min="4" max="4"/>
  </cols>
  <sheetData>
    <row r="1" ht="30" customHeight="1" s="140">
      <c r="A1" s="141" t="inlineStr">
        <is>
          <t>⚙️  PARÁMETROS DEL SISTEMA — config.py</t>
        </is>
      </c>
    </row>
    <row r="3" ht="22" customHeight="1" s="140">
      <c r="A3" s="143" t="inlineStr">
        <is>
          <t>CAPITAL Y RIESGO</t>
        </is>
      </c>
    </row>
    <row r="4" ht="18" customHeight="1" s="140">
      <c r="A4" s="56" t="inlineStr">
        <is>
          <t>Parámetro</t>
        </is>
      </c>
      <c r="B4" s="56" t="inlineStr">
        <is>
          <t>Valor</t>
        </is>
      </c>
      <c r="C4" s="56" t="inlineStr">
        <is>
          <t>Unidad</t>
        </is>
      </c>
      <c r="D4" s="56" t="inlineStr">
        <is>
          <t>Descripción</t>
        </is>
      </c>
    </row>
    <row r="5" ht="18" customHeight="1" s="140">
      <c r="A5" s="151" t="inlineStr">
        <is>
          <t>Capital Inicial</t>
        </is>
      </c>
      <c r="B5" s="57" t="inlineStr">
        <is>
          <t>$150.00</t>
        </is>
      </c>
      <c r="C5" s="44" t="inlineStr">
        <is>
          <t>USD</t>
        </is>
      </c>
      <c r="D5" s="58" t="inlineStr">
        <is>
          <t>No modificar hasta sistema rentable 3 meses</t>
        </is>
      </c>
    </row>
    <row r="6" ht="18" customHeight="1" s="140">
      <c r="A6" s="150" t="inlineStr">
        <is>
          <t>Riesgo por Trade</t>
        </is>
      </c>
      <c r="B6" s="57" t="inlineStr">
        <is>
          <t>1%</t>
        </is>
      </c>
      <c r="C6" s="48" t="inlineStr">
        <is>
          <t>Del capital</t>
        </is>
      </c>
      <c r="D6" s="59" t="inlineStr">
        <is>
          <t>NO subir hasta Win Rate &gt; 55% consistente</t>
        </is>
      </c>
    </row>
    <row r="7" ht="18" customHeight="1" s="140">
      <c r="A7" s="151" t="inlineStr">
        <is>
          <t>R:R Mínimo</t>
        </is>
      </c>
      <c r="B7" s="57" t="inlineStr">
        <is>
          <t>1:2</t>
        </is>
      </c>
      <c r="C7" s="44" t="n"/>
      <c r="D7" s="58" t="inlineStr">
        <is>
          <t>Take Profit = 2× Stop Loss mínimo</t>
        </is>
      </c>
    </row>
    <row r="8" ht="18" customHeight="1" s="140">
      <c r="A8" s="150" t="inlineStr">
        <is>
          <t>Drawdown Máximo</t>
        </is>
      </c>
      <c r="B8" s="57" t="inlineStr">
        <is>
          <t>15%</t>
        </is>
      </c>
      <c r="C8" s="48" t="n"/>
      <c r="D8" s="59" t="inlineStr">
        <is>
          <t>Parar sistema si se supera</t>
        </is>
      </c>
    </row>
    <row r="9" ht="18" customHeight="1" s="140">
      <c r="A9" s="151" t="inlineStr">
        <is>
          <t>Umbral de Ruina</t>
        </is>
      </c>
      <c r="B9" s="57" t="inlineStr">
        <is>
          <t>30%</t>
        </is>
      </c>
      <c r="C9" s="44" t="n"/>
      <c r="D9" s="58" t="inlineStr">
        <is>
          <t>Parar y revisar si capital baja a $105</t>
        </is>
      </c>
    </row>
    <row r="10" ht="18" customHeight="1" s="140">
      <c r="A10" s="150" t="inlineStr">
        <is>
          <t>Max Trades/Día</t>
        </is>
      </c>
      <c r="B10" s="57" t="inlineStr">
        <is>
          <t>4</t>
        </is>
      </c>
      <c r="C10" s="48" t="n"/>
      <c r="D10" s="59" t="inlineStr">
        <is>
          <t>Incluye cruce + pullback</t>
        </is>
      </c>
    </row>
    <row r="12" ht="22" customHeight="1" s="140">
      <c r="A12" s="143" t="inlineStr">
        <is>
          <t>INDICADORES (7 de la guía)</t>
        </is>
      </c>
    </row>
    <row r="13" ht="18" customHeight="1" s="140">
      <c r="A13" s="56" t="inlineStr">
        <is>
          <t>Parámetro</t>
        </is>
      </c>
      <c r="B13" s="56" t="inlineStr">
        <is>
          <t>Valor</t>
        </is>
      </c>
      <c r="C13" s="56" t="inlineStr">
        <is>
          <t>Unidad</t>
        </is>
      </c>
      <c r="D13" s="56" t="inlineStr">
        <is>
          <t>Descripción</t>
        </is>
      </c>
    </row>
    <row r="14" ht="18" customHeight="1" s="140">
      <c r="A14" s="151" t="inlineStr">
        <is>
          <t>EMA Rápida</t>
        </is>
      </c>
      <c r="B14" s="57" t="inlineStr">
        <is>
          <t>10</t>
        </is>
      </c>
      <c r="C14" s="44" t="inlineStr">
        <is>
          <t>Períodos</t>
        </is>
      </c>
      <c r="D14" s="58" t="inlineStr">
        <is>
          <t>Tendencia de corto plazo</t>
        </is>
      </c>
    </row>
    <row r="15" ht="18" customHeight="1" s="140">
      <c r="A15" s="150" t="inlineStr">
        <is>
          <t>EMA Lenta</t>
        </is>
      </c>
      <c r="B15" s="57" t="inlineStr">
        <is>
          <t>30</t>
        </is>
      </c>
      <c r="C15" s="48" t="inlineStr">
        <is>
          <t>Períodos</t>
        </is>
      </c>
      <c r="D15" s="59" t="inlineStr">
        <is>
          <t>Tendencia de medio plazo</t>
        </is>
      </c>
    </row>
    <row r="16" ht="18" customHeight="1" s="140">
      <c r="A16" s="151" t="inlineStr">
        <is>
          <t>SMA Macro</t>
        </is>
      </c>
      <c r="B16" s="57" t="inlineStr">
        <is>
          <t>200</t>
        </is>
      </c>
      <c r="C16" s="44" t="inlineStr">
        <is>
          <t>Períodos</t>
        </is>
      </c>
      <c r="D16" s="58" t="inlineStr">
        <is>
          <t>Filtro: solo long sobre SMA200</t>
        </is>
      </c>
    </row>
    <row r="17" ht="18" customHeight="1" s="140">
      <c r="A17" s="150" t="inlineStr">
        <is>
          <t>RSI</t>
        </is>
      </c>
      <c r="B17" s="57" t="inlineStr">
        <is>
          <t>14</t>
        </is>
      </c>
      <c r="C17" s="48" t="inlineStr">
        <is>
          <t>Períodos</t>
        </is>
      </c>
      <c r="D17" s="59" t="inlineStr">
        <is>
          <t>CORRECCIÓN: RSI alto = momentum, no bloqueo</t>
        </is>
      </c>
    </row>
    <row r="18" ht="18" customHeight="1" s="140">
      <c r="A18" s="151" t="inlineStr">
        <is>
          <t>Estocástico</t>
        </is>
      </c>
      <c r="B18" s="57" t="inlineStr">
        <is>
          <t>5/3/3</t>
        </is>
      </c>
      <c r="C18" s="44" t="inlineStr">
        <is>
          <t>K/D/Smooth</t>
        </is>
      </c>
      <c r="D18" s="58" t="inlineStr">
        <is>
          <t>Sobreventa &lt; 25 | Sobrecompra &gt; 75</t>
        </is>
      </c>
    </row>
    <row r="19" ht="18" customHeight="1" s="140">
      <c r="A19" s="150" t="inlineStr">
        <is>
          <t>MACD</t>
        </is>
      </c>
      <c r="B19" s="57" t="inlineStr">
        <is>
          <t>12/26/9</t>
        </is>
      </c>
      <c r="C19" s="48" t="inlineStr">
        <is>
          <t>Fast/Slow/Signal</t>
        </is>
      </c>
      <c r="D19" s="59" t="inlineStr">
        <is>
          <t>Cruce = entrada | Histograma = fuerza</t>
        </is>
      </c>
    </row>
    <row r="20" ht="18" customHeight="1" s="140">
      <c r="A20" s="151" t="inlineStr">
        <is>
          <t>Bollinger Bands</t>
        </is>
      </c>
      <c r="B20" s="57" t="inlineStr">
        <is>
          <t>20/2</t>
        </is>
      </c>
      <c r="C20" s="44" t="inlineStr">
        <is>
          <t>Período/StdDev</t>
        </is>
      </c>
      <c r="D20" s="58" t="inlineStr">
        <is>
          <t>Squeeze = movimiento inminente</t>
        </is>
      </c>
    </row>
    <row r="21" ht="18" customHeight="1" s="140">
      <c r="A21" s="150" t="inlineStr">
        <is>
          <t>ADX Mínimo</t>
        </is>
      </c>
      <c r="B21" s="57" t="inlineStr">
        <is>
          <t>20</t>
        </is>
      </c>
      <c r="C21" s="48" t="n"/>
      <c r="D21" s="59" t="inlineStr">
        <is>
          <t>&lt; 20 = rango, evitar | &gt; 25 = tendencia fuerte</t>
        </is>
      </c>
    </row>
    <row r="23" ht="22" customHeight="1" s="140">
      <c r="A23" s="143" t="inlineStr">
        <is>
          <t>GESTIÓN DE SALIDAS</t>
        </is>
      </c>
    </row>
    <row r="24" ht="18" customHeight="1" s="140">
      <c r="A24" s="56" t="inlineStr">
        <is>
          <t>Parámetro</t>
        </is>
      </c>
      <c r="B24" s="56" t="inlineStr">
        <is>
          <t>Valor</t>
        </is>
      </c>
      <c r="C24" s="56" t="inlineStr">
        <is>
          <t>Unidad</t>
        </is>
      </c>
      <c r="D24" s="56" t="inlineStr">
        <is>
          <t>Descripción</t>
        </is>
      </c>
    </row>
    <row r="25" ht="18" customHeight="1" s="140">
      <c r="A25" s="151" t="inlineStr">
        <is>
          <t>Stop Loss</t>
        </is>
      </c>
      <c r="B25" s="57" t="inlineStr">
        <is>
          <t>ATR × 1.5</t>
        </is>
      </c>
      <c r="C25" s="44" t="n"/>
      <c r="D25" s="58" t="inlineStr">
        <is>
          <t>Dinámico basado en volatilidad real</t>
        </is>
      </c>
    </row>
    <row r="26" ht="18" customHeight="1" s="140">
      <c r="A26" s="150" t="inlineStr">
        <is>
          <t>Take Profit 1 (50%)</t>
        </is>
      </c>
      <c r="B26" s="57" t="inlineStr">
        <is>
          <t>ATR × 1.5</t>
        </is>
      </c>
      <c r="C26" s="48" t="n"/>
      <c r="D26" s="59" t="inlineStr">
        <is>
          <t>Cierra mitad de posición — asegura ganancia</t>
        </is>
      </c>
    </row>
    <row r="27" ht="18" customHeight="1" s="140">
      <c r="A27" s="151" t="inlineStr">
        <is>
          <t>Take Profit 2 (50%)</t>
        </is>
      </c>
      <c r="B27" s="57" t="inlineStr">
        <is>
          <t>ATR × 3.0</t>
        </is>
      </c>
      <c r="C27" s="44" t="n"/>
      <c r="D27" s="58" t="inlineStr">
        <is>
          <t>Deja correr la otra mitad</t>
        </is>
      </c>
    </row>
    <row r="28" ht="18" customHeight="1" s="140">
      <c r="A28" s="150" t="inlineStr">
        <is>
          <t>Trailing Stop</t>
        </is>
      </c>
      <c r="B28" s="57" t="inlineStr">
        <is>
          <t>ATR × 1.0</t>
        </is>
      </c>
      <c r="C28" s="48" t="n"/>
      <c r="D28" s="59" t="inlineStr">
        <is>
          <t>Activo después de TP1 — protege ganancias</t>
        </is>
      </c>
    </row>
    <row r="30" ht="22" customHeight="1" s="140">
      <c r="A30" s="143" t="inlineStr">
        <is>
          <t>SESIÓN Y TIMEFRAMES</t>
        </is>
      </c>
    </row>
    <row r="31" ht="18" customHeight="1" s="140">
      <c r="A31" s="56" t="inlineStr">
        <is>
          <t>Parámetro</t>
        </is>
      </c>
      <c r="B31" s="56" t="inlineStr">
        <is>
          <t>Valor</t>
        </is>
      </c>
      <c r="C31" s="56" t="inlineStr">
        <is>
          <t>Unidad</t>
        </is>
      </c>
      <c r="D31" s="56" t="inlineStr">
        <is>
          <t>Descripción</t>
        </is>
      </c>
    </row>
    <row r="32" ht="18" customHeight="1" s="140">
      <c r="A32" s="151" t="inlineStr">
        <is>
          <t>Timeframe principal</t>
        </is>
      </c>
      <c r="B32" s="57" t="inlineStr">
        <is>
          <t>H4</t>
        </is>
      </c>
      <c r="C32" s="44" t="n"/>
      <c r="D32" s="58" t="inlineStr">
        <is>
          <t>Dirección macro de la tendencia</t>
        </is>
      </c>
    </row>
    <row r="33" ht="18" customHeight="1" s="140">
      <c r="A33" s="150" t="inlineStr">
        <is>
          <t>Timeframe confirmación</t>
        </is>
      </c>
      <c r="B33" s="57" t="inlineStr">
        <is>
          <t>M15</t>
        </is>
      </c>
      <c r="C33" s="48" t="n"/>
      <c r="D33" s="59" t="inlineStr">
        <is>
          <t>Alineamiento antes de entrar</t>
        </is>
      </c>
    </row>
    <row r="34" ht="18" customHeight="1" s="140">
      <c r="A34" s="151" t="inlineStr">
        <is>
          <t>Sesión activa</t>
        </is>
      </c>
      <c r="B34" s="57" t="inlineStr">
        <is>
          <t>London+NY</t>
        </is>
      </c>
      <c r="C34" s="44" t="inlineStr">
        <is>
          <t>08-21 UTC</t>
        </is>
      </c>
      <c r="D34" s="58" t="inlineStr">
        <is>
          <t>Mayor liquidez y tendencias claras</t>
        </is>
      </c>
    </row>
    <row r="35" ht="18" customHeight="1" s="140">
      <c r="A35" s="150" t="inlineStr">
        <is>
          <t>Evitar</t>
        </is>
      </c>
      <c r="B35" s="57" t="inlineStr">
        <is>
          <t>Sesión Asia</t>
        </is>
      </c>
      <c r="C35" s="48" t="inlineStr">
        <is>
          <t>00-07 UTC</t>
        </is>
      </c>
      <c r="D35" s="59" t="inlineStr">
        <is>
          <t>Baja liquidez, señales falsas</t>
        </is>
      </c>
    </row>
    <row r="36" ht="18" customHeight="1" s="140">
      <c r="A36" s="151" t="inlineStr">
        <is>
          <t>Evitar noticias</t>
        </is>
      </c>
      <c r="B36" s="57" t="inlineStr">
        <is>
          <t>FOMC, NFP, CPI</t>
        </is>
      </c>
      <c r="C36" s="44" t="n"/>
      <c r="D36" s="58" t="inlineStr">
        <is>
          <t>Salir antes o esperar post-noticia</t>
        </is>
      </c>
    </row>
  </sheetData>
  <mergeCells count="5">
    <mergeCell ref="A1:F1"/>
    <mergeCell ref="A23:F23"/>
    <mergeCell ref="A12:F12"/>
    <mergeCell ref="A3:F3"/>
    <mergeCell ref="A30:F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2"/>
  <sheetViews>
    <sheetView showGridLines="0" zoomScale="53" workbookViewId="0">
      <pane ySplit="3" topLeftCell="A4" activePane="bottomLeft" state="frozen"/>
      <selection pane="bottomLeft" activeCell="A1" sqref="A1:N1"/>
    </sheetView>
  </sheetViews>
  <sheetFormatPr baseColWidth="10" defaultColWidth="8.7265625" defaultRowHeight="14.5"/>
  <cols>
    <col width="8" customWidth="1" style="140" min="1" max="1"/>
    <col width="14" customWidth="1" style="140" min="2" max="3"/>
    <col width="12" customWidth="1" style="140" min="4" max="4"/>
    <col width="10" customWidth="1" style="140" min="5" max="5"/>
    <col width="14" customWidth="1" style="140" min="6" max="10"/>
    <col width="12" customWidth="1" style="140" min="11" max="12"/>
    <col width="16" customWidth="1" style="140" min="13" max="13"/>
    <col width="22" customWidth="1" style="140" min="14" max="14"/>
  </cols>
  <sheetData>
    <row r="1" ht="28" customHeight="1" s="140">
      <c r="A1" s="145" t="inlineStr">
        <is>
          <t>📋  REGISTRO DE TRADES REALES — Llenar después de cada operación</t>
        </is>
      </c>
    </row>
    <row r="2" ht="18" customHeight="1" s="140">
      <c r="A2" s="144" t="inlineStr">
        <is>
          <t>⚠️  Este registro es para PAPER TRADING o trades reales — NO para backtest</t>
        </is>
      </c>
    </row>
    <row r="3" ht="30" customHeight="1" s="140">
      <c r="A3" s="1" t="inlineStr">
        <is>
          <t>#</t>
        </is>
      </c>
      <c r="B3" s="1" t="inlineStr">
        <is>
          <t>Fecha
Entrada</t>
        </is>
      </c>
      <c r="C3" s="1" t="inlineStr">
        <is>
          <t>Hora
Entrada</t>
        </is>
      </c>
      <c r="D3" s="1" t="inlineStr">
        <is>
          <t>Par</t>
        </is>
      </c>
      <c r="E3" s="1" t="inlineStr">
        <is>
          <t>Dirección</t>
        </is>
      </c>
      <c r="F3" s="1" t="inlineStr">
        <is>
          <t>Precio
Entrada</t>
        </is>
      </c>
      <c r="G3" s="1" t="inlineStr">
        <is>
          <t>Stop
Loss</t>
        </is>
      </c>
      <c r="H3" s="1" t="inlineStr">
        <is>
          <t>Take
Profit</t>
        </is>
      </c>
      <c r="I3" s="1" t="inlineStr">
        <is>
          <t>Precio
Salida</t>
        </is>
      </c>
      <c r="J3" s="1" t="inlineStr">
        <is>
          <t>Fecha
Salida</t>
        </is>
      </c>
      <c r="K3" s="1" t="inlineStr">
        <is>
          <t>P&amp;L
USD</t>
        </is>
      </c>
      <c r="L3" s="1" t="inlineStr">
        <is>
          <t>Resultado</t>
        </is>
      </c>
      <c r="M3" s="1" t="inlineStr">
        <is>
          <t>Estrategia
Usada</t>
        </is>
      </c>
      <c r="N3" s="1" t="inlineStr">
        <is>
          <t>Notas / Lección</t>
        </is>
      </c>
    </row>
    <row r="4" ht="18" customHeight="1" s="140">
      <c r="A4" s="60" t="n"/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</row>
    <row r="5" ht="18" customHeight="1" s="140">
      <c r="A5" s="61" t="n"/>
      <c r="B5" s="61" t="n"/>
      <c r="C5" s="61" t="n"/>
      <c r="D5" s="61" t="n"/>
      <c r="E5" s="61" t="n"/>
      <c r="F5" s="61" t="n"/>
      <c r="G5" s="61" t="n"/>
      <c r="H5" s="61" t="n"/>
      <c r="I5" s="61" t="n"/>
      <c r="J5" s="61" t="n"/>
      <c r="K5" s="61" t="n"/>
      <c r="L5" s="61" t="n"/>
      <c r="M5" s="61" t="n"/>
      <c r="N5" s="61" t="n"/>
    </row>
    <row r="6" ht="18" customHeight="1" s="140">
      <c r="A6" s="60" t="n"/>
      <c r="B6" s="60" t="n"/>
      <c r="C6" s="60" t="n"/>
      <c r="D6" s="60" t="n"/>
      <c r="E6" s="60" t="n"/>
      <c r="F6" s="60" t="n"/>
      <c r="G6" s="60" t="n"/>
      <c r="H6" s="60" t="n"/>
      <c r="I6" s="60" t="n"/>
      <c r="J6" s="60" t="n"/>
      <c r="K6" s="60" t="n"/>
      <c r="L6" s="60" t="n"/>
      <c r="M6" s="60" t="n"/>
      <c r="N6" s="60" t="n"/>
    </row>
    <row r="7" ht="18" customHeight="1" s="140">
      <c r="A7" s="61" t="n"/>
      <c r="B7" s="61" t="n"/>
      <c r="C7" s="61" t="n"/>
      <c r="D7" s="61" t="n"/>
      <c r="E7" s="61" t="n"/>
      <c r="F7" s="61" t="n"/>
      <c r="G7" s="61" t="n"/>
      <c r="H7" s="61" t="n"/>
      <c r="I7" s="61" t="n"/>
      <c r="J7" s="61" t="n"/>
      <c r="K7" s="61" t="n"/>
      <c r="L7" s="61" t="n"/>
      <c r="M7" s="61" t="n"/>
      <c r="N7" s="61" t="n"/>
    </row>
    <row r="8" ht="18" customHeight="1" s="140">
      <c r="A8" s="60" t="n"/>
      <c r="B8" s="60" t="n"/>
      <c r="C8" s="60" t="n"/>
      <c r="D8" s="60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</row>
    <row r="9" ht="18" customHeight="1" s="140">
      <c r="A9" s="61" t="n"/>
      <c r="B9" s="61" t="n"/>
      <c r="C9" s="61" t="n"/>
      <c r="D9" s="61" t="n"/>
      <c r="E9" s="61" t="n"/>
      <c r="F9" s="61" t="n"/>
      <c r="G9" s="61" t="n"/>
      <c r="H9" s="61" t="n"/>
      <c r="I9" s="61" t="n"/>
      <c r="J9" s="61" t="n"/>
      <c r="K9" s="61" t="n"/>
      <c r="L9" s="61" t="n"/>
      <c r="M9" s="61" t="n"/>
      <c r="N9" s="61" t="n"/>
    </row>
    <row r="10" ht="18" customHeight="1" s="140">
      <c r="A10" s="60" t="n"/>
      <c r="B10" s="60" t="n"/>
      <c r="C10" s="60" t="n"/>
      <c r="D10" s="60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</row>
    <row r="11" ht="18" customHeight="1" s="140">
      <c r="A11" s="61" t="n"/>
      <c r="B11" s="61" t="n"/>
      <c r="C11" s="61" t="n"/>
      <c r="D11" s="61" t="n"/>
      <c r="E11" s="61" t="n"/>
      <c r="F11" s="61" t="n"/>
      <c r="G11" s="61" t="n"/>
      <c r="H11" s="61" t="n"/>
      <c r="I11" s="61" t="n"/>
      <c r="J11" s="61" t="n"/>
      <c r="K11" s="61" t="n"/>
      <c r="L11" s="61" t="n"/>
      <c r="M11" s="61" t="n"/>
      <c r="N11" s="61" t="n"/>
    </row>
    <row r="12" ht="18" customHeight="1" s="140">
      <c r="A12" s="60" t="n"/>
      <c r="B12" s="60" t="n"/>
      <c r="C12" s="60" t="n"/>
      <c r="D12" s="60" t="n"/>
      <c r="E12" s="60" t="n"/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</row>
    <row r="13" ht="18" customHeight="1" s="140">
      <c r="A13" s="61" t="n"/>
      <c r="B13" s="61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61" t="n"/>
      <c r="L13" s="61" t="n"/>
      <c r="M13" s="61" t="n"/>
      <c r="N13" s="61" t="n"/>
    </row>
    <row r="14" ht="18" customHeight="1" s="140">
      <c r="A14" s="60" t="n"/>
      <c r="B14" s="60" t="n"/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  <c r="L14" s="60" t="n"/>
      <c r="M14" s="60" t="n"/>
      <c r="N14" s="60" t="n"/>
    </row>
    <row r="15" ht="18" customHeight="1" s="140">
      <c r="A15" s="61" t="n"/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61" t="n"/>
      <c r="L15" s="61" t="n"/>
      <c r="M15" s="61" t="n"/>
      <c r="N15" s="61" t="n"/>
    </row>
    <row r="16" ht="18" customHeight="1" s="140">
      <c r="A16" s="60" t="n"/>
      <c r="B16" s="60" t="n"/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  <c r="L16" s="60" t="n"/>
      <c r="M16" s="60" t="n"/>
      <c r="N16" s="60" t="n"/>
    </row>
    <row r="17" ht="18" customHeight="1" s="140">
      <c r="A17" s="61" t="n"/>
      <c r="B17" s="61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61" t="n"/>
      <c r="L17" s="61" t="n"/>
      <c r="M17" s="61" t="n"/>
      <c r="N17" s="61" t="n"/>
    </row>
    <row r="18" ht="18" customHeight="1" s="140">
      <c r="A18" s="60" t="n"/>
      <c r="B18" s="60" t="n"/>
      <c r="C18" s="60" t="n"/>
      <c r="D18" s="60" t="n"/>
      <c r="E18" s="60" t="n"/>
      <c r="F18" s="60" t="n"/>
      <c r="G18" s="60" t="n"/>
      <c r="H18" s="60" t="n"/>
      <c r="I18" s="60" t="n"/>
      <c r="J18" s="60" t="n"/>
      <c r="K18" s="60" t="n"/>
      <c r="L18" s="60" t="n"/>
      <c r="M18" s="60" t="n"/>
      <c r="N18" s="60" t="n"/>
    </row>
    <row r="19" ht="18" customHeight="1" s="140">
      <c r="A19" s="61" t="n"/>
      <c r="B19" s="61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61" t="n"/>
      <c r="L19" s="61" t="n"/>
      <c r="M19" s="61" t="n"/>
      <c r="N19" s="61" t="n"/>
    </row>
    <row r="20" ht="18" customHeight="1" s="140">
      <c r="A20" s="60" t="n"/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60" t="n"/>
      <c r="L20" s="60" t="n"/>
      <c r="M20" s="60" t="n"/>
      <c r="N20" s="60" t="n"/>
    </row>
    <row r="21" ht="18" customHeight="1" s="140">
      <c r="A21" s="61" t="n"/>
      <c r="B21" s="61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</row>
    <row r="22" ht="18" customHeight="1" s="140">
      <c r="A22" s="60" t="n"/>
      <c r="B22" s="60" t="n"/>
      <c r="C22" s="60" t="n"/>
      <c r="D22" s="60" t="n"/>
      <c r="E22" s="60" t="n"/>
      <c r="F22" s="60" t="n"/>
      <c r="G22" s="60" t="n"/>
      <c r="H22" s="60" t="n"/>
      <c r="I22" s="60" t="n"/>
      <c r="J22" s="60" t="n"/>
      <c r="K22" s="60" t="n"/>
      <c r="L22" s="60" t="n"/>
      <c r="M22" s="60" t="n"/>
      <c r="N22" s="60" t="n"/>
    </row>
    <row r="23" ht="18" customHeight="1" s="140">
      <c r="A23" s="61" t="n"/>
      <c r="B23" s="61" t="n"/>
      <c r="C23" s="61" t="n"/>
      <c r="D23" s="61" t="n"/>
      <c r="E23" s="61" t="n"/>
      <c r="F23" s="61" t="n"/>
      <c r="G23" s="61" t="n"/>
      <c r="H23" s="61" t="n"/>
      <c r="I23" s="61" t="n"/>
      <c r="J23" s="61" t="n"/>
      <c r="K23" s="61" t="n"/>
      <c r="L23" s="61" t="n"/>
      <c r="M23" s="61" t="n"/>
      <c r="N23" s="61" t="n"/>
    </row>
    <row r="24" ht="18" customHeight="1" s="140">
      <c r="A24" s="60" t="n"/>
      <c r="B24" s="60" t="n"/>
      <c r="C24" s="60" t="n"/>
      <c r="D24" s="60" t="n"/>
      <c r="E24" s="60" t="n"/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</row>
    <row r="25" ht="18" customHeight="1" s="140">
      <c r="A25" s="61" t="n"/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</row>
    <row r="26" ht="18" customHeight="1" s="140">
      <c r="A26" s="60" t="n"/>
      <c r="B26" s="60" t="n"/>
      <c r="C26" s="60" t="n"/>
      <c r="D26" s="60" t="n"/>
      <c r="E26" s="60" t="n"/>
      <c r="F26" s="60" t="n"/>
      <c r="G26" s="60" t="n"/>
      <c r="H26" s="60" t="n"/>
      <c r="I26" s="60" t="n"/>
      <c r="J26" s="60" t="n"/>
      <c r="K26" s="60" t="n"/>
      <c r="L26" s="60" t="n"/>
      <c r="M26" s="60" t="n"/>
      <c r="N26" s="60" t="n"/>
    </row>
    <row r="27" ht="18" customHeight="1" s="140">
      <c r="A27" s="61" t="n"/>
      <c r="B27" s="61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</row>
    <row r="28" ht="18" customHeight="1" s="140">
      <c r="A28" s="60" t="n"/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</row>
    <row r="29" ht="18" customHeight="1" s="140">
      <c r="A29" s="61" t="n"/>
      <c r="B29" s="61" t="n"/>
      <c r="C29" s="61" t="n"/>
      <c r="D29" s="61" t="n"/>
      <c r="E29" s="61" t="n"/>
      <c r="F29" s="61" t="n"/>
      <c r="G29" s="61" t="n"/>
      <c r="H29" s="61" t="n"/>
      <c r="I29" s="61" t="n"/>
      <c r="J29" s="61" t="n"/>
      <c r="K29" s="61" t="n"/>
      <c r="L29" s="61" t="n"/>
      <c r="M29" s="61" t="n"/>
      <c r="N29" s="61" t="n"/>
    </row>
    <row r="30" ht="18" customHeight="1" s="140">
      <c r="A30" s="60" t="n"/>
      <c r="B30" s="60" t="n"/>
      <c r="C30" s="60" t="n"/>
      <c r="D30" s="60" t="n"/>
      <c r="E30" s="60" t="n"/>
      <c r="F30" s="60" t="n"/>
      <c r="G30" s="60" t="n"/>
      <c r="H30" s="60" t="n"/>
      <c r="I30" s="60" t="n"/>
      <c r="J30" s="60" t="n"/>
      <c r="K30" s="60" t="n"/>
      <c r="L30" s="60" t="n"/>
      <c r="M30" s="60" t="n"/>
      <c r="N30" s="60" t="n"/>
    </row>
    <row r="31" ht="18" customHeight="1" s="140">
      <c r="A31" s="61" t="n"/>
      <c r="B31" s="61" t="n"/>
      <c r="C31" s="61" t="n"/>
      <c r="D31" s="61" t="n"/>
      <c r="E31" s="61" t="n"/>
      <c r="F31" s="61" t="n"/>
      <c r="G31" s="61" t="n"/>
      <c r="H31" s="61" t="n"/>
      <c r="I31" s="61" t="n"/>
      <c r="J31" s="61" t="n"/>
      <c r="K31" s="61" t="n"/>
      <c r="L31" s="61" t="n"/>
      <c r="M31" s="61" t="n"/>
      <c r="N31" s="61" t="n"/>
    </row>
    <row r="32" ht="18" customHeight="1" s="140">
      <c r="A32" s="60" t="n"/>
      <c r="B32" s="60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60" t="n"/>
      <c r="L32" s="60" t="n"/>
      <c r="M32" s="60" t="n"/>
      <c r="N32" s="60" t="n"/>
    </row>
    <row r="33" ht="18" customHeight="1" s="140">
      <c r="A33" s="61" t="n"/>
      <c r="B33" s="61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</row>
    <row r="34" ht="18" customHeight="1" s="140">
      <c r="A34" s="60" t="n"/>
      <c r="B34" s="60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60" t="n"/>
    </row>
    <row r="35" ht="18" customHeight="1" s="140">
      <c r="A35" s="61" t="n"/>
      <c r="B35" s="61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</row>
    <row r="36" ht="18" customHeight="1" s="140">
      <c r="A36" s="60" t="n"/>
      <c r="B36" s="60" t="n"/>
      <c r="C36" s="60" t="n"/>
      <c r="D36" s="60" t="n"/>
      <c r="E36" s="60" t="n"/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</row>
    <row r="37" ht="18" customHeight="1" s="140">
      <c r="A37" s="61" t="n"/>
      <c r="B37" s="61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</row>
    <row r="38" ht="18" customHeight="1" s="140">
      <c r="A38" s="60" t="n"/>
      <c r="B38" s="60" t="n"/>
      <c r="C38" s="60" t="n"/>
      <c r="D38" s="60" t="n"/>
      <c r="E38" s="60" t="n"/>
      <c r="F38" s="60" t="n"/>
      <c r="G38" s="60" t="n"/>
      <c r="H38" s="60" t="n"/>
      <c r="I38" s="60" t="n"/>
      <c r="J38" s="60" t="n"/>
      <c r="K38" s="60" t="n"/>
      <c r="L38" s="60" t="n"/>
      <c r="M38" s="60" t="n"/>
      <c r="N38" s="60" t="n"/>
    </row>
    <row r="39" ht="18" customHeight="1" s="140">
      <c r="A39" s="61" t="n"/>
      <c r="B39" s="61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</row>
    <row r="40" ht="18" customHeight="1" s="140">
      <c r="A40" s="60" t="n"/>
      <c r="B40" s="60" t="n"/>
      <c r="C40" s="60" t="n"/>
      <c r="D40" s="60" t="n"/>
      <c r="E40" s="60" t="n"/>
      <c r="F40" s="60" t="n"/>
      <c r="G40" s="60" t="n"/>
      <c r="H40" s="60" t="n"/>
      <c r="I40" s="60" t="n"/>
      <c r="J40" s="60" t="n"/>
      <c r="K40" s="60" t="n"/>
      <c r="L40" s="60" t="n"/>
      <c r="M40" s="60" t="n"/>
      <c r="N40" s="60" t="n"/>
    </row>
    <row r="41" ht="18" customHeight="1" s="140">
      <c r="A41" s="61" t="n"/>
      <c r="B41" s="61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</row>
    <row r="42" ht="18" customHeight="1" s="140">
      <c r="A42" s="60" t="n"/>
      <c r="B42" s="60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</row>
    <row r="43" ht="18" customHeight="1" s="140">
      <c r="A43" s="61" t="n"/>
      <c r="B43" s="61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</row>
    <row r="44" ht="18" customHeight="1" s="140">
      <c r="A44" s="60" t="n"/>
      <c r="B44" s="60" t="n"/>
      <c r="C44" s="60" t="n"/>
      <c r="D44" s="60" t="n"/>
      <c r="E44" s="60" t="n"/>
      <c r="F44" s="60" t="n"/>
      <c r="G44" s="60" t="n"/>
      <c r="H44" s="60" t="n"/>
      <c r="I44" s="60" t="n"/>
      <c r="J44" s="60" t="n"/>
      <c r="K44" s="60" t="n"/>
      <c r="L44" s="60" t="n"/>
      <c r="M44" s="60" t="n"/>
      <c r="N44" s="60" t="n"/>
    </row>
    <row r="45" ht="18" customHeight="1" s="140">
      <c r="A45" s="61" t="n"/>
      <c r="B45" s="61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</row>
    <row r="46" ht="18" customHeight="1" s="140">
      <c r="A46" s="60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</row>
    <row r="47" ht="18" customHeight="1" s="140">
      <c r="A47" s="61" t="n"/>
      <c r="B47" s="61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</row>
    <row r="48" ht="18" customHeight="1" s="140">
      <c r="A48" s="60" t="n"/>
      <c r="B48" s="60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L48" s="60" t="n"/>
      <c r="M48" s="60" t="n"/>
      <c r="N48" s="60" t="n"/>
    </row>
    <row r="49" ht="18" customHeight="1" s="140">
      <c r="A49" s="61" t="n"/>
      <c r="B49" s="61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</row>
    <row r="50" ht="18" customHeight="1" s="140">
      <c r="A50" s="60" t="n"/>
      <c r="B50" s="60" t="n"/>
      <c r="C50" s="60" t="n"/>
      <c r="D50" s="60" t="n"/>
      <c r="E50" s="60" t="n"/>
      <c r="F50" s="60" t="n"/>
      <c r="G50" s="60" t="n"/>
      <c r="H50" s="60" t="n"/>
      <c r="I50" s="60" t="n"/>
      <c r="J50" s="60" t="n"/>
      <c r="K50" s="60" t="n"/>
      <c r="L50" s="60" t="n"/>
      <c r="M50" s="60" t="n"/>
      <c r="N50" s="60" t="n"/>
    </row>
    <row r="51" ht="18" customHeight="1" s="140">
      <c r="A51" s="61" t="n"/>
      <c r="B51" s="61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</row>
    <row r="52" ht="18" customHeight="1" s="140">
      <c r="A52" s="60" t="n"/>
      <c r="B52" s="60" t="n"/>
      <c r="C52" s="60" t="n"/>
      <c r="D52" s="60" t="n"/>
      <c r="E52" s="60" t="n"/>
      <c r="F52" s="60" t="n"/>
      <c r="G52" s="60" t="n"/>
      <c r="H52" s="60" t="n"/>
      <c r="I52" s="60" t="n"/>
      <c r="J52" s="60" t="n"/>
      <c r="K52" s="60" t="n"/>
      <c r="L52" s="60" t="n"/>
      <c r="M52" s="60" t="n"/>
      <c r="N52" s="60" t="n"/>
    </row>
    <row r="53" ht="18" customHeight="1" s="140">
      <c r="A53" s="61" t="n"/>
      <c r="B53" s="61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</row>
    <row r="55" ht="18" customHeight="1" s="140">
      <c r="A55" s="38" t="inlineStr">
        <is>
          <t>Total trades</t>
        </is>
      </c>
      <c r="B55" s="62">
        <f>COUNTA(A4:A53)</f>
        <v/>
      </c>
    </row>
    <row r="56" ht="18" customHeight="1" s="140">
      <c r="A56" s="38" t="inlineStr">
        <is>
          <t>Wins</t>
        </is>
      </c>
      <c r="B56" s="62">
        <f>COUNTIF(L4:L53,"WIN")</f>
        <v/>
      </c>
    </row>
    <row r="57" ht="18" customHeight="1" s="140">
      <c r="A57" s="38" t="inlineStr">
        <is>
          <t>Losses</t>
        </is>
      </c>
      <c r="B57" s="62">
        <f>COUNTIF(L4:L53,"LOSS")</f>
        <v/>
      </c>
    </row>
    <row r="58" ht="18" customHeight="1" s="140">
      <c r="A58" s="38" t="inlineStr">
        <is>
          <t>Win Rate</t>
        </is>
      </c>
      <c r="B58" s="63">
        <f>IF(B56&gt;0,B57/B56,0)</f>
        <v/>
      </c>
    </row>
    <row r="59" ht="18" customHeight="1" s="140">
      <c r="A59" s="38" t="inlineStr">
        <is>
          <t>P&amp;L Total</t>
        </is>
      </c>
      <c r="B59" s="64">
        <f>SUM(K4:K53)</f>
        <v/>
      </c>
    </row>
    <row r="60" ht="18" customHeight="1" s="140">
      <c r="A60" s="38" t="inlineStr">
        <is>
          <t>Mejor trade</t>
        </is>
      </c>
      <c r="B60" s="64">
        <f>MAX(K4:K53)</f>
        <v/>
      </c>
    </row>
    <row r="61" ht="18" customHeight="1" s="140">
      <c r="A61" s="38" t="inlineStr">
        <is>
          <t>Peor trade</t>
        </is>
      </c>
      <c r="B61" s="64">
        <f>MIN(K4:K53)</f>
        <v/>
      </c>
    </row>
    <row r="62" ht="18" customHeight="1" s="140">
      <c r="A62" s="38" t="inlineStr">
        <is>
          <t>Avg P&amp;L</t>
        </is>
      </c>
      <c r="B62" s="64">
        <f>AVERAGE(K4:K53)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topLeftCell="A13" workbookViewId="0">
      <selection activeCell="A1" sqref="A1:H1"/>
    </sheetView>
  </sheetViews>
  <sheetFormatPr baseColWidth="10" defaultColWidth="8.7265625" defaultRowHeight="14.5"/>
  <cols>
    <col width="22" customWidth="1" style="140" min="1" max="2"/>
    <col width="16" customWidth="1" style="140" min="3" max="3"/>
    <col width="14" customWidth="1" style="140" min="4" max="8"/>
  </cols>
  <sheetData>
    <row r="1" ht="30" customHeight="1" s="140">
      <c r="A1" s="141" t="inlineStr">
        <is>
          <t>🧠  MI ANÁLISIS — Qué funcionó y qué mejorar</t>
        </is>
      </c>
    </row>
    <row r="3" ht="22" customHeight="1" s="140">
      <c r="A3" s="153" t="inlineStr">
        <is>
          <t>DIAGNÓSTICO ACTUAL</t>
        </is>
      </c>
    </row>
    <row r="4" ht="36" customHeight="1" s="140">
      <c r="A4" s="168" t="inlineStr">
        <is>
          <t>Problema principal</t>
        </is>
      </c>
      <c r="B4" s="138" t="n"/>
      <c r="C4" s="169" t="inlineStr">
        <is>
          <t>Solo 2-3 trades/mes con datos reales MT5
→ Sin suficientes datos estadísticos</t>
        </is>
      </c>
      <c r="D4" s="137" t="n"/>
      <c r="E4" s="137" t="n"/>
      <c r="F4" s="137" t="n"/>
      <c r="G4" s="137" t="n"/>
      <c r="H4" s="138" t="n"/>
    </row>
    <row r="5" ht="36" customHeight="1" s="140">
      <c r="A5" s="170" t="inlineStr">
        <is>
          <t>Win Rate actual</t>
        </is>
      </c>
      <c r="B5" s="138" t="n"/>
      <c r="C5" s="171" t="inlineStr">
        <is>
          <t>38-40% con configuración básica
→ Necesita pullback + SMA200 para llegar a 55%</t>
        </is>
      </c>
      <c r="D5" s="137" t="n"/>
      <c r="E5" s="137" t="n"/>
      <c r="F5" s="137" t="n"/>
      <c r="G5" s="137" t="n"/>
      <c r="H5" s="138" t="n"/>
    </row>
    <row r="6" ht="36" customHeight="1" s="140">
      <c r="A6" s="168" t="inlineStr">
        <is>
          <t>Sharpe real</t>
        </is>
      </c>
      <c r="B6" s="138" t="n"/>
      <c r="C6" s="169" t="inlineStr">
        <is>
          <t>0.75 a 1.36 según configuración
→ Meta: &gt; 2.0 con datos 8000 barras</t>
        </is>
      </c>
      <c r="D6" s="137" t="n"/>
      <c r="E6" s="137" t="n"/>
      <c r="F6" s="137" t="n"/>
      <c r="G6" s="137" t="n"/>
      <c r="H6" s="138" t="n"/>
    </row>
    <row r="7" ht="36" customHeight="1" s="140">
      <c r="A7" s="170" t="inlineStr">
        <is>
          <t>Problema datos</t>
        </is>
      </c>
      <c r="B7" s="138" t="n"/>
      <c r="C7" s="171" t="inlineStr">
        <is>
          <t>Solo 2000 barras H4 (~15 meses)
→ URGENTE: descargar 8000 barras (~5 años)</t>
        </is>
      </c>
      <c r="D7" s="137" t="n"/>
      <c r="E7" s="137" t="n"/>
      <c r="F7" s="137" t="n"/>
      <c r="G7" s="137" t="n"/>
      <c r="H7" s="138" t="n"/>
    </row>
    <row r="9" ht="22" customHeight="1" s="140">
      <c r="A9" s="146" t="inlineStr">
        <is>
          <t>CORRECCIONES APLICADAS</t>
        </is>
      </c>
    </row>
    <row r="10" ht="36" customHeight="1" s="140">
      <c r="A10" s="168" t="inlineStr">
        <is>
          <t>RSI corregido</t>
        </is>
      </c>
      <c r="B10" s="138" t="n"/>
      <c r="C10" s="169" t="inlineStr">
        <is>
          <t>RSI alto = momentum fuerte (guía)
→ Ya NO bloqueamos señales con RSI &gt; 65</t>
        </is>
      </c>
      <c r="D10" s="137" t="n"/>
      <c r="E10" s="137" t="n"/>
      <c r="F10" s="137" t="n"/>
      <c r="G10" s="137" t="n"/>
      <c r="H10" s="138" t="n"/>
    </row>
    <row r="11" ht="36" customHeight="1" s="140">
      <c r="A11" s="170" t="inlineStr">
        <is>
          <t>ADX bajado 25→20</t>
        </is>
      </c>
      <c r="B11" s="138" t="n"/>
      <c r="C11" s="171" t="inlineStr">
        <is>
          <t>Más trades sin perder calidad
→ De 2 a ~4 trades/mes esperados</t>
        </is>
      </c>
      <c r="D11" s="137" t="n"/>
      <c r="E11" s="137" t="n"/>
      <c r="F11" s="137" t="n"/>
      <c r="G11" s="137" t="n"/>
      <c r="H11" s="138" t="n"/>
    </row>
    <row r="12" ht="36" customHeight="1" s="140">
      <c r="A12" s="168" t="inlineStr">
        <is>
          <t>SMA 200 agregado</t>
        </is>
      </c>
      <c r="B12" s="138" t="n"/>
      <c r="C12" s="169" t="inlineStr">
        <is>
          <t>Filtro macro: solo long si precio &gt; SMA200
→ Elimina trades contra tendencia mayor</t>
        </is>
      </c>
      <c r="D12" s="137" t="n"/>
      <c r="E12" s="137" t="n"/>
      <c r="F12" s="137" t="n"/>
      <c r="G12" s="137" t="n"/>
      <c r="H12" s="138" t="n"/>
    </row>
    <row r="13" ht="36" customHeight="1" s="140">
      <c r="A13" s="170" t="inlineStr">
        <is>
          <t>7 indicadores activos</t>
        </is>
      </c>
      <c r="B13" s="138" t="n"/>
      <c r="C13" s="171" t="inlineStr">
        <is>
          <t>Stoch + MACD + BB + ADX + EMA + RSI + S/R
→ Confirmación múltiple</t>
        </is>
      </c>
      <c r="D13" s="137" t="n"/>
      <c r="E13" s="137" t="n"/>
      <c r="F13" s="137" t="n"/>
      <c r="G13" s="137" t="n"/>
      <c r="H13" s="138" t="n"/>
    </row>
    <row r="15" ht="22" customHeight="1" s="140">
      <c r="A15" s="143" t="inlineStr">
        <is>
          <t>PRÓXIMOS PASOS</t>
        </is>
      </c>
    </row>
    <row r="16" ht="36" customHeight="1" s="140">
      <c r="A16" s="168" t="inlineStr">
        <is>
          <t>Paso 1 (HOY)</t>
        </is>
      </c>
      <c r="B16" s="138" t="n"/>
      <c r="C16" s="169" t="inlineStr">
        <is>
          <t>python run.py --download
→ Descargar 8000 barras H4 de MT5</t>
        </is>
      </c>
      <c r="D16" s="137" t="n"/>
      <c r="E16" s="137" t="n"/>
      <c r="F16" s="137" t="n"/>
      <c r="G16" s="137" t="n"/>
      <c r="H16" s="138" t="n"/>
    </row>
    <row r="17" ht="36" customHeight="1" s="140">
      <c r="A17" s="170" t="inlineStr">
        <is>
          <t>Paso 2 (esta semana)</t>
        </is>
      </c>
      <c r="B17" s="138" t="n"/>
      <c r="C17" s="171" t="inlineStr">
        <is>
          <t>python run.py --all
→ Ver resultados con datos reales 5 años</t>
        </is>
      </c>
      <c r="D17" s="137" t="n"/>
      <c r="E17" s="137" t="n"/>
      <c r="F17" s="137" t="n"/>
      <c r="G17" s="137" t="n"/>
      <c r="H17" s="138" t="n"/>
    </row>
    <row r="18" ht="36" customHeight="1" s="140">
      <c r="A18" s="168" t="inlineStr">
        <is>
          <t>Paso 3</t>
        </is>
      </c>
      <c r="B18" s="138" t="n"/>
      <c r="C18" s="169" t="inlineStr">
        <is>
          <t>Ajustar estrategia según Walk-Forward
→ Usar EMA recomendada por el WF</t>
        </is>
      </c>
      <c r="D18" s="137" t="n"/>
      <c r="E18" s="137" t="n"/>
      <c r="F18" s="137" t="n"/>
      <c r="G18" s="137" t="n"/>
      <c r="H18" s="138" t="n"/>
    </row>
    <row r="19" ht="36" customHeight="1" s="140">
      <c r="A19" s="170" t="inlineStr">
        <is>
          <t>Paso 4 (si Sharpe &gt; 1.5)</t>
        </is>
      </c>
      <c r="B19" s="138" t="n"/>
      <c r="C19" s="171" t="inlineStr">
        <is>
          <t>Paper trading 3 meses mínimo
→ Validar en tiempo real sin dinero</t>
        </is>
      </c>
      <c r="D19" s="137" t="n"/>
      <c r="E19" s="137" t="n"/>
      <c r="F19" s="137" t="n"/>
      <c r="G19" s="137" t="n"/>
      <c r="H19" s="138" t="n"/>
    </row>
    <row r="20" ht="36" customHeight="1" s="140">
      <c r="A20" s="168" t="inlineStr">
        <is>
          <t>Paso 5 (si Paper OK)</t>
        </is>
      </c>
      <c r="B20" s="138" t="n"/>
      <c r="C20" s="169" t="inlineStr">
        <is>
          <t>Live trading $150 real
→ Solo después de 3 meses paper trading positivo</t>
        </is>
      </c>
      <c r="D20" s="137" t="n"/>
      <c r="E20" s="137" t="n"/>
      <c r="F20" s="137" t="n"/>
      <c r="G20" s="137" t="n"/>
      <c r="H20" s="138" t="n"/>
    </row>
  </sheetData>
  <mergeCells count="30">
    <mergeCell ref="A9:H9"/>
    <mergeCell ref="C10:H10"/>
    <mergeCell ref="C16:H16"/>
    <mergeCell ref="A15:H15"/>
    <mergeCell ref="A11:B11"/>
    <mergeCell ref="A1:H1"/>
    <mergeCell ref="C12:H12"/>
    <mergeCell ref="A6:B6"/>
    <mergeCell ref="C11:H11"/>
    <mergeCell ref="A16:B16"/>
    <mergeCell ref="A7:B7"/>
    <mergeCell ref="C17:H17"/>
    <mergeCell ref="A18:B18"/>
    <mergeCell ref="C7:H7"/>
    <mergeCell ref="A12:B12"/>
    <mergeCell ref="A3:H3"/>
    <mergeCell ref="C19:H19"/>
    <mergeCell ref="C13:H13"/>
    <mergeCell ref="A5:B5"/>
    <mergeCell ref="C18:H18"/>
    <mergeCell ref="A17:B17"/>
    <mergeCell ref="A4:B4"/>
    <mergeCell ref="A20:B20"/>
    <mergeCell ref="C6:H6"/>
    <mergeCell ref="C5:H5"/>
    <mergeCell ref="A19:B19"/>
    <mergeCell ref="A10:B10"/>
    <mergeCell ref="A13:B13"/>
    <mergeCell ref="C4:H4"/>
    <mergeCell ref="C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2026-03-18T00:13:00Z</dcterms:created>
  <dcterms:modified xmlns:dcterms="http://purl.org/dc/terms/" xmlns:xsi="http://www.w3.org/2001/XMLSchema-instance" xsi:type="dcterms:W3CDTF">2026-04-15T04:53:20Z</dcterms:modified>
  <cp:lastModifiedBy>Javier López</cp:lastModifiedBy>
</cp:coreProperties>
</file>